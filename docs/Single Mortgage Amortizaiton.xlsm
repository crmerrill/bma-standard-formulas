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26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rmerrill/Developer/laminarcf/tests/laminarcf/bma_compliance/docs/"/>
    </mc:Choice>
  </mc:AlternateContent>
  <xr:revisionPtr revIDLastSave="0" documentId="13_ncr:1_{6450A488-2FE3-B74F-946F-E860757F5DFB}" xr6:coauthVersionLast="47" xr6:coauthVersionMax="47" xr10:uidLastSave="{00000000-0000-0000-0000-000000000000}"/>
  <bookViews>
    <workbookView xWindow="0" yWindow="760" windowWidth="30240" windowHeight="1802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 calcMode="manual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2" i="1" l="1" a="1"/>
  <c r="Q32" i="1" s="1"/>
  <c r="F32" i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1" i="1"/>
  <c r="F4" i="1"/>
  <c r="U13" i="1" l="1"/>
  <c r="AG31" i="1" l="1"/>
  <c r="N33" i="1" l="1"/>
  <c r="N34" i="1"/>
  <c r="N35" i="1"/>
  <c r="N36" i="1"/>
  <c r="N37" i="1"/>
  <c r="N38" i="1"/>
  <c r="N39" i="1"/>
  <c r="N40" i="1"/>
  <c r="N41" i="1"/>
  <c r="N42" i="1"/>
  <c r="J31" i="1"/>
  <c r="P31" i="1" s="1"/>
  <c r="V31" i="1"/>
  <c r="D391" i="1"/>
  <c r="B32" i="1"/>
  <c r="C31" i="1"/>
  <c r="T32" i="1" l="1"/>
  <c r="AG32" i="1"/>
  <c r="Y31" i="1"/>
  <c r="AC31" i="1"/>
  <c r="AF31" i="1"/>
  <c r="AB31" i="1"/>
  <c r="AD31" i="1"/>
  <c r="AE31" i="1"/>
  <c r="N32" i="1"/>
  <c r="W31" i="1"/>
  <c r="K32" i="1"/>
  <c r="E32" i="1"/>
  <c r="B33" i="1"/>
  <c r="C32" i="1"/>
  <c r="M32" i="1" l="1"/>
  <c r="T33" i="1"/>
  <c r="AG33" i="1"/>
  <c r="H32" i="1"/>
  <c r="G32" i="1" s="1"/>
  <c r="N43" i="1"/>
  <c r="B34" i="1"/>
  <c r="C33" i="1"/>
  <c r="AE32" i="1" l="1"/>
  <c r="I32" i="1"/>
  <c r="J32" i="1" s="1"/>
  <c r="AF32" i="1"/>
  <c r="O32" i="1"/>
  <c r="T34" i="1"/>
  <c r="AG34" i="1"/>
  <c r="B35" i="1"/>
  <c r="C34" i="1"/>
  <c r="P32" i="1" l="1"/>
  <c r="E33" i="1"/>
  <c r="W32" i="1"/>
  <c r="T35" i="1"/>
  <c r="AG35" i="1"/>
  <c r="B36" i="1"/>
  <c r="C35" i="1"/>
  <c r="S32" i="1" l="1"/>
  <c r="R32" i="1"/>
  <c r="H33" i="1"/>
  <c r="G33" i="1" s="1"/>
  <c r="T36" i="1"/>
  <c r="AG36" i="1"/>
  <c r="N44" i="1"/>
  <c r="B37" i="1"/>
  <c r="C36" i="1"/>
  <c r="U32" i="1" l="1"/>
  <c r="Y32" i="1"/>
  <c r="AD32" i="1"/>
  <c r="V32" i="1"/>
  <c r="AB32" i="1" s="1"/>
  <c r="AC32" i="1"/>
  <c r="X32" i="1"/>
  <c r="I33" i="1"/>
  <c r="J33" i="1" s="1"/>
  <c r="P33" i="1" s="1"/>
  <c r="T37" i="1"/>
  <c r="AG37" i="1"/>
  <c r="B38" i="1"/>
  <c r="C37" i="1"/>
  <c r="K33" i="1" l="1"/>
  <c r="M33" i="1" s="1"/>
  <c r="W33" i="1"/>
  <c r="E34" i="1"/>
  <c r="T38" i="1"/>
  <c r="AG38" i="1"/>
  <c r="B39" i="1"/>
  <c r="C38" i="1"/>
  <c r="AE33" i="1" l="1"/>
  <c r="O33" i="1"/>
  <c r="AF33" i="1"/>
  <c r="S33" i="1"/>
  <c r="X33" i="1" s="1"/>
  <c r="R33" i="1"/>
  <c r="H34" i="1"/>
  <c r="G34" i="1" s="1"/>
  <c r="T39" i="1"/>
  <c r="AG39" i="1"/>
  <c r="N45" i="1"/>
  <c r="B40" i="1"/>
  <c r="C39" i="1"/>
  <c r="U33" i="1" l="1"/>
  <c r="AC33" i="1"/>
  <c r="AD33" i="1"/>
  <c r="Y33" i="1"/>
  <c r="V33" i="1"/>
  <c r="I34" i="1"/>
  <c r="T40" i="1"/>
  <c r="AG40" i="1"/>
  <c r="B41" i="1"/>
  <c r="C40" i="1"/>
  <c r="K34" i="1" l="1"/>
  <c r="M34" i="1" s="1"/>
  <c r="AB33" i="1"/>
  <c r="W34" i="1"/>
  <c r="J34" i="1"/>
  <c r="T41" i="1"/>
  <c r="AG41" i="1"/>
  <c r="B42" i="1"/>
  <c r="C41" i="1"/>
  <c r="AE34" i="1" l="1"/>
  <c r="AF34" i="1"/>
  <c r="O34" i="1"/>
  <c r="P34" i="1"/>
  <c r="S34" i="1" s="1"/>
  <c r="E35" i="1"/>
  <c r="R34" i="1"/>
  <c r="H35" i="1"/>
  <c r="G35" i="1" s="1"/>
  <c r="T42" i="1"/>
  <c r="AG42" i="1"/>
  <c r="N46" i="1"/>
  <c r="B43" i="1"/>
  <c r="C42" i="1"/>
  <c r="AC34" i="1" l="1"/>
  <c r="X34" i="1"/>
  <c r="U34" i="1"/>
  <c r="V34" i="1"/>
  <c r="AD34" i="1"/>
  <c r="Y34" i="1"/>
  <c r="I35" i="1"/>
  <c r="T43" i="1"/>
  <c r="AG43" i="1"/>
  <c r="B44" i="1"/>
  <c r="C43" i="1"/>
  <c r="AB34" i="1" l="1"/>
  <c r="K35" i="1"/>
  <c r="M35" i="1"/>
  <c r="W35" i="1"/>
  <c r="J35" i="1"/>
  <c r="T44" i="1"/>
  <c r="AG44" i="1"/>
  <c r="B45" i="1"/>
  <c r="C44" i="1"/>
  <c r="O35" i="1" l="1"/>
  <c r="P35" i="1"/>
  <c r="E36" i="1"/>
  <c r="AF35" i="1"/>
  <c r="AE35" i="1"/>
  <c r="S35" i="1"/>
  <c r="X35" i="1" s="1"/>
  <c r="R35" i="1"/>
  <c r="H36" i="1"/>
  <c r="G36" i="1" s="1"/>
  <c r="AC35" i="1"/>
  <c r="T45" i="1"/>
  <c r="AG45" i="1"/>
  <c r="N47" i="1"/>
  <c r="B46" i="1"/>
  <c r="C45" i="1"/>
  <c r="Y35" i="1" l="1"/>
  <c r="U35" i="1"/>
  <c r="AD35" i="1"/>
  <c r="V35" i="1"/>
  <c r="I36" i="1"/>
  <c r="T46" i="1"/>
  <c r="AG46" i="1"/>
  <c r="B47" i="1"/>
  <c r="C46" i="1"/>
  <c r="K36" i="1" l="1"/>
  <c r="AB35" i="1"/>
  <c r="J36" i="1"/>
  <c r="W36" i="1"/>
  <c r="T47" i="1"/>
  <c r="AG47" i="1"/>
  <c r="B48" i="1"/>
  <c r="C47" i="1"/>
  <c r="M36" i="1" l="1"/>
  <c r="P36" i="1"/>
  <c r="E37" i="1"/>
  <c r="H37" i="1" s="1"/>
  <c r="G37" i="1" s="1"/>
  <c r="AG48" i="1"/>
  <c r="N48" i="1"/>
  <c r="B49" i="1"/>
  <c r="C48" i="1"/>
  <c r="O36" i="1" l="1"/>
  <c r="T48" i="1"/>
  <c r="R36" i="1"/>
  <c r="S36" i="1"/>
  <c r="AF36" i="1"/>
  <c r="AE36" i="1"/>
  <c r="X36" i="1"/>
  <c r="I37" i="1"/>
  <c r="J37" i="1" s="1"/>
  <c r="P37" i="1" s="1"/>
  <c r="AG49" i="1"/>
  <c r="B50" i="1"/>
  <c r="AG50" i="1" s="1"/>
  <c r="C49" i="1"/>
  <c r="U36" i="1" l="1"/>
  <c r="V36" i="1"/>
  <c r="AC36" i="1"/>
  <c r="AD36" i="1"/>
  <c r="Y36" i="1"/>
  <c r="W37" i="1"/>
  <c r="E38" i="1"/>
  <c r="B51" i="1"/>
  <c r="AG51" i="1" s="1"/>
  <c r="C50" i="1"/>
  <c r="AB36" i="1" l="1"/>
  <c r="K37" i="1"/>
  <c r="H38" i="1"/>
  <c r="N49" i="1"/>
  <c r="B52" i="1"/>
  <c r="AG52" i="1" s="1"/>
  <c r="C51" i="1"/>
  <c r="M37" i="1" l="1"/>
  <c r="G38" i="1"/>
  <c r="I38" i="1" s="1"/>
  <c r="B53" i="1"/>
  <c r="AG53" i="1" s="1"/>
  <c r="C52" i="1"/>
  <c r="R37" i="1" l="1"/>
  <c r="S37" i="1"/>
  <c r="AD37" i="1" s="1"/>
  <c r="O37" i="1"/>
  <c r="Y37" i="1" s="1"/>
  <c r="AC37" i="1"/>
  <c r="X37" i="1"/>
  <c r="V37" i="1"/>
  <c r="AF37" i="1"/>
  <c r="AE37" i="1"/>
  <c r="T49" i="1"/>
  <c r="U37" i="1"/>
  <c r="J38" i="1"/>
  <c r="W38" i="1"/>
  <c r="B54" i="1"/>
  <c r="AG54" i="1" s="1"/>
  <c r="C53" i="1"/>
  <c r="AB37" i="1" l="1"/>
  <c r="K38" i="1"/>
  <c r="P38" i="1"/>
  <c r="E39" i="1"/>
  <c r="N50" i="1"/>
  <c r="B55" i="1"/>
  <c r="AG55" i="1" s="1"/>
  <c r="C54" i="1"/>
  <c r="M38" i="1" l="1"/>
  <c r="O38" i="1" s="1"/>
  <c r="H39" i="1"/>
  <c r="G39" i="1" s="1"/>
  <c r="I39" i="1" s="1"/>
  <c r="S38" i="1"/>
  <c r="R38" i="1"/>
  <c r="B56" i="1"/>
  <c r="AG56" i="1" s="1"/>
  <c r="C55" i="1"/>
  <c r="AE38" i="1" l="1"/>
  <c r="AF38" i="1"/>
  <c r="T50" i="1"/>
  <c r="J39" i="1"/>
  <c r="W39" i="1"/>
  <c r="AD38" i="1"/>
  <c r="X38" i="1"/>
  <c r="AC38" i="1"/>
  <c r="V38" i="1"/>
  <c r="Y38" i="1"/>
  <c r="U38" i="1"/>
  <c r="B57" i="1"/>
  <c r="AG57" i="1" s="1"/>
  <c r="C56" i="1"/>
  <c r="P39" i="1" l="1"/>
  <c r="E40" i="1"/>
  <c r="AB38" i="1"/>
  <c r="K39" i="1"/>
  <c r="N51" i="1"/>
  <c r="B58" i="1"/>
  <c r="AG58" i="1" s="1"/>
  <c r="C57" i="1"/>
  <c r="H40" i="1" l="1"/>
  <c r="G40" i="1" s="1"/>
  <c r="I40" i="1" s="1"/>
  <c r="J40" i="1" s="1"/>
  <c r="P40" i="1" s="1"/>
  <c r="M39" i="1"/>
  <c r="R39" i="1"/>
  <c r="B59" i="1"/>
  <c r="AG59" i="1" s="1"/>
  <c r="C58" i="1"/>
  <c r="S39" i="1" l="1"/>
  <c r="O39" i="1"/>
  <c r="E41" i="1"/>
  <c r="H41" i="1" s="1"/>
  <c r="G41" i="1" s="1"/>
  <c r="W40" i="1"/>
  <c r="T51" i="1"/>
  <c r="AF39" i="1"/>
  <c r="AE39" i="1"/>
  <c r="B60" i="1"/>
  <c r="AG60" i="1" s="1"/>
  <c r="C59" i="1"/>
  <c r="Y39" i="1" l="1"/>
  <c r="U39" i="1"/>
  <c r="AC39" i="1"/>
  <c r="X39" i="1"/>
  <c r="AD39" i="1"/>
  <c r="V39" i="1"/>
  <c r="AB39" i="1" s="1"/>
  <c r="K40" i="1"/>
  <c r="N52" i="1"/>
  <c r="I41" i="1"/>
  <c r="J41" i="1" s="1"/>
  <c r="P41" i="1" s="1"/>
  <c r="B61" i="1"/>
  <c r="AG61" i="1" s="1"/>
  <c r="C60" i="1"/>
  <c r="M40" i="1" l="1"/>
  <c r="W41" i="1"/>
  <c r="E42" i="1"/>
  <c r="B62" i="1"/>
  <c r="AG62" i="1" s="1"/>
  <c r="C61" i="1"/>
  <c r="O40" i="1" l="1"/>
  <c r="S40" i="1"/>
  <c r="R40" i="1"/>
  <c r="Y40" i="1" s="1"/>
  <c r="T52" i="1"/>
  <c r="AF40" i="1"/>
  <c r="AE40" i="1"/>
  <c r="H42" i="1"/>
  <c r="G42" i="1" s="1"/>
  <c r="B63" i="1"/>
  <c r="AG63" i="1" s="1"/>
  <c r="C62" i="1"/>
  <c r="AC40" i="1" l="1"/>
  <c r="AD40" i="1"/>
  <c r="X40" i="1"/>
  <c r="U40" i="1"/>
  <c r="V40" i="1"/>
  <c r="K41" i="1"/>
  <c r="AB40" i="1"/>
  <c r="N53" i="1"/>
  <c r="I42" i="1"/>
  <c r="J42" i="1" s="1"/>
  <c r="P42" i="1" s="1"/>
  <c r="B64" i="1"/>
  <c r="AG64" i="1" s="1"/>
  <c r="C63" i="1"/>
  <c r="M41" i="1" l="1"/>
  <c r="W42" i="1"/>
  <c r="E43" i="1"/>
  <c r="B65" i="1"/>
  <c r="AG65" i="1" s="1"/>
  <c r="C64" i="1"/>
  <c r="O41" i="1" l="1"/>
  <c r="R41" i="1"/>
  <c r="S41" i="1"/>
  <c r="V41" i="1" s="1"/>
  <c r="T53" i="1"/>
  <c r="AF41" i="1"/>
  <c r="AE41" i="1"/>
  <c r="H43" i="1"/>
  <c r="G43" i="1" s="1"/>
  <c r="B66" i="1"/>
  <c r="AG66" i="1" s="1"/>
  <c r="C65" i="1"/>
  <c r="K42" i="1" l="1"/>
  <c r="AB41" i="1"/>
  <c r="X41" i="1"/>
  <c r="AC41" i="1"/>
  <c r="AD41" i="1"/>
  <c r="U41" i="1"/>
  <c r="Y41" i="1"/>
  <c r="N54" i="1"/>
  <c r="I43" i="1"/>
  <c r="J43" i="1" s="1"/>
  <c r="P43" i="1" s="1"/>
  <c r="B67" i="1"/>
  <c r="AG67" i="1" s="1"/>
  <c r="C66" i="1"/>
  <c r="M42" i="1" l="1"/>
  <c r="W43" i="1"/>
  <c r="E44" i="1"/>
  <c r="B68" i="1"/>
  <c r="AG68" i="1" s="1"/>
  <c r="C67" i="1"/>
  <c r="S42" i="1" l="1"/>
  <c r="R42" i="1"/>
  <c r="V42" i="1" s="1"/>
  <c r="U42" i="1"/>
  <c r="X42" i="1"/>
  <c r="AC42" i="1"/>
  <c r="AD42" i="1"/>
  <c r="T54" i="1"/>
  <c r="AF42" i="1"/>
  <c r="AE42" i="1"/>
  <c r="O42" i="1"/>
  <c r="H44" i="1"/>
  <c r="G44" i="1" s="1"/>
  <c r="B69" i="1"/>
  <c r="AG69" i="1" s="1"/>
  <c r="C68" i="1"/>
  <c r="Y42" i="1" l="1"/>
  <c r="K43" i="1"/>
  <c r="AB42" i="1"/>
  <c r="I44" i="1"/>
  <c r="J44" i="1" s="1"/>
  <c r="P44" i="1" s="1"/>
  <c r="N55" i="1"/>
  <c r="B70" i="1"/>
  <c r="AG70" i="1" s="1"/>
  <c r="C69" i="1"/>
  <c r="M43" i="1" l="1"/>
  <c r="W44" i="1"/>
  <c r="E45" i="1"/>
  <c r="B71" i="1"/>
  <c r="AG71" i="1" s="1"/>
  <c r="C70" i="1"/>
  <c r="O43" i="1" l="1"/>
  <c r="R43" i="1"/>
  <c r="S43" i="1"/>
  <c r="U43" i="1" s="1"/>
  <c r="X43" i="1"/>
  <c r="AC43" i="1"/>
  <c r="AD43" i="1"/>
  <c r="Y43" i="1"/>
  <c r="T55" i="1"/>
  <c r="AF43" i="1"/>
  <c r="AE43" i="1"/>
  <c r="H45" i="1"/>
  <c r="G45" i="1" s="1"/>
  <c r="B72" i="1"/>
  <c r="AG72" i="1" s="1"/>
  <c r="C71" i="1"/>
  <c r="V43" i="1" l="1"/>
  <c r="K44" i="1"/>
  <c r="AB43" i="1"/>
  <c r="I45" i="1"/>
  <c r="J45" i="1" s="1"/>
  <c r="P45" i="1" s="1"/>
  <c r="N56" i="1"/>
  <c r="B73" i="1"/>
  <c r="AG73" i="1" s="1"/>
  <c r="C72" i="1"/>
  <c r="M44" i="1" l="1"/>
  <c r="W45" i="1"/>
  <c r="E46" i="1"/>
  <c r="B74" i="1"/>
  <c r="AG74" i="1" s="1"/>
  <c r="C73" i="1"/>
  <c r="S44" i="1" l="1"/>
  <c r="R44" i="1"/>
  <c r="U44" i="1" s="1"/>
  <c r="AC44" i="1"/>
  <c r="AD44" i="1"/>
  <c r="X44" i="1"/>
  <c r="T56" i="1"/>
  <c r="AF44" i="1"/>
  <c r="AE44" i="1"/>
  <c r="V44" i="1"/>
  <c r="O44" i="1"/>
  <c r="Y44" i="1" s="1"/>
  <c r="H46" i="1"/>
  <c r="G46" i="1" s="1"/>
  <c r="B75" i="1"/>
  <c r="AG75" i="1" s="1"/>
  <c r="C74" i="1"/>
  <c r="AB44" i="1" l="1"/>
  <c r="K45" i="1"/>
  <c r="N57" i="1"/>
  <c r="I46" i="1"/>
  <c r="J46" i="1" s="1"/>
  <c r="P46" i="1" s="1"/>
  <c r="B76" i="1"/>
  <c r="AG76" i="1" s="1"/>
  <c r="C75" i="1"/>
  <c r="M45" i="1" l="1"/>
  <c r="S45" i="1"/>
  <c r="O45" i="1"/>
  <c r="R45" i="1"/>
  <c r="U45" i="1" s="1"/>
  <c r="W46" i="1"/>
  <c r="E47" i="1"/>
  <c r="B77" i="1"/>
  <c r="AG77" i="1" s="1"/>
  <c r="C76" i="1"/>
  <c r="Y45" i="1" l="1"/>
  <c r="X45" i="1"/>
  <c r="AC45" i="1"/>
  <c r="AD45" i="1"/>
  <c r="T57" i="1"/>
  <c r="AF45" i="1"/>
  <c r="AE45" i="1"/>
  <c r="V45" i="1"/>
  <c r="H47" i="1"/>
  <c r="G47" i="1" s="1"/>
  <c r="B78" i="1"/>
  <c r="AG78" i="1" s="1"/>
  <c r="C77" i="1"/>
  <c r="K46" i="1" l="1"/>
  <c r="AB45" i="1"/>
  <c r="I47" i="1"/>
  <c r="J47" i="1" s="1"/>
  <c r="P47" i="1" s="1"/>
  <c r="N58" i="1"/>
  <c r="B79" i="1"/>
  <c r="AG79" i="1" s="1"/>
  <c r="C78" i="1"/>
  <c r="M46" i="1" l="1"/>
  <c r="W47" i="1"/>
  <c r="E48" i="1"/>
  <c r="B80" i="1"/>
  <c r="AG80" i="1" s="1"/>
  <c r="C79" i="1"/>
  <c r="R46" i="1" l="1"/>
  <c r="S46" i="1"/>
  <c r="AC46" i="1"/>
  <c r="X46" i="1"/>
  <c r="V46" i="1"/>
  <c r="T58" i="1"/>
  <c r="AE46" i="1"/>
  <c r="AF46" i="1"/>
  <c r="O46" i="1"/>
  <c r="H48" i="1"/>
  <c r="G48" i="1" s="1"/>
  <c r="B81" i="1"/>
  <c r="AG81" i="1" s="1"/>
  <c r="C80" i="1"/>
  <c r="AD46" i="1" l="1"/>
  <c r="Y46" i="1"/>
  <c r="U46" i="1"/>
  <c r="AB46" i="1"/>
  <c r="K47" i="1"/>
  <c r="I48" i="1"/>
  <c r="J48" i="1" s="1"/>
  <c r="P48" i="1" s="1"/>
  <c r="N59" i="1"/>
  <c r="B82" i="1"/>
  <c r="AG82" i="1" s="1"/>
  <c r="C81" i="1"/>
  <c r="M47" i="1" l="1"/>
  <c r="S47" i="1" s="1"/>
  <c r="W48" i="1"/>
  <c r="E49" i="1"/>
  <c r="B83" i="1"/>
  <c r="AG83" i="1" s="1"/>
  <c r="C82" i="1"/>
  <c r="AC47" i="1" l="1"/>
  <c r="X47" i="1"/>
  <c r="O47" i="1"/>
  <c r="R47" i="1"/>
  <c r="U47" i="1" s="1"/>
  <c r="T59" i="1"/>
  <c r="AF47" i="1"/>
  <c r="AE47" i="1"/>
  <c r="H49" i="1"/>
  <c r="G49" i="1" s="1"/>
  <c r="B84" i="1"/>
  <c r="AG84" i="1" s="1"/>
  <c r="C83" i="1"/>
  <c r="Y47" i="1" l="1"/>
  <c r="AD47" i="1"/>
  <c r="V47" i="1"/>
  <c r="N60" i="1"/>
  <c r="I49" i="1"/>
  <c r="J49" i="1" s="1"/>
  <c r="P49" i="1" s="1"/>
  <c r="B85" i="1"/>
  <c r="AG85" i="1" s="1"/>
  <c r="C84" i="1"/>
  <c r="K48" i="1" l="1"/>
  <c r="AB47" i="1"/>
  <c r="W49" i="1"/>
  <c r="E50" i="1"/>
  <c r="B86" i="1"/>
  <c r="AG86" i="1" s="1"/>
  <c r="C85" i="1"/>
  <c r="M48" i="1" l="1"/>
  <c r="O48" i="1" s="1"/>
  <c r="S48" i="1"/>
  <c r="R48" i="1"/>
  <c r="H50" i="1"/>
  <c r="G50" i="1" s="1"/>
  <c r="B87" i="1"/>
  <c r="AG87" i="1" s="1"/>
  <c r="C86" i="1"/>
  <c r="U48" i="1" l="1"/>
  <c r="V48" i="1"/>
  <c r="Y48" i="1"/>
  <c r="K49" i="1"/>
  <c r="AB48" i="1"/>
  <c r="X48" i="1"/>
  <c r="AC48" i="1"/>
  <c r="AD48" i="1"/>
  <c r="T60" i="1"/>
  <c r="AE48" i="1"/>
  <c r="AF48" i="1"/>
  <c r="I50" i="1"/>
  <c r="J50" i="1" s="1"/>
  <c r="P50" i="1" s="1"/>
  <c r="N61" i="1"/>
  <c r="B88" i="1"/>
  <c r="AG88" i="1" s="1"/>
  <c r="C87" i="1"/>
  <c r="M49" i="1" l="1"/>
  <c r="O49" i="1" s="1"/>
  <c r="W50" i="1"/>
  <c r="E51" i="1"/>
  <c r="B89" i="1"/>
  <c r="AG89" i="1" s="1"/>
  <c r="C88" i="1"/>
  <c r="S49" i="1" l="1"/>
  <c r="R49" i="1"/>
  <c r="T61" i="1"/>
  <c r="AF49" i="1"/>
  <c r="AE49" i="1"/>
  <c r="H51" i="1"/>
  <c r="G51" i="1" s="1"/>
  <c r="B90" i="1"/>
  <c r="AG90" i="1" s="1"/>
  <c r="C89" i="1"/>
  <c r="U49" i="1" l="1"/>
  <c r="V49" i="1"/>
  <c r="Y49" i="1"/>
  <c r="K50" i="1"/>
  <c r="AB49" i="1"/>
  <c r="X49" i="1"/>
  <c r="AC49" i="1"/>
  <c r="AD49" i="1"/>
  <c r="N62" i="1"/>
  <c r="I51" i="1"/>
  <c r="J51" i="1" s="1"/>
  <c r="P51" i="1" s="1"/>
  <c r="B91" i="1"/>
  <c r="AG91" i="1" s="1"/>
  <c r="C90" i="1"/>
  <c r="M50" i="1" l="1"/>
  <c r="W51" i="1"/>
  <c r="E52" i="1"/>
  <c r="B92" i="1"/>
  <c r="AG92" i="1" s="1"/>
  <c r="C91" i="1"/>
  <c r="O50" i="1" l="1"/>
  <c r="S50" i="1"/>
  <c r="R50" i="1"/>
  <c r="AD50" i="1"/>
  <c r="T62" i="1"/>
  <c r="AE50" i="1"/>
  <c r="AF50" i="1"/>
  <c r="H52" i="1"/>
  <c r="G52" i="1" s="1"/>
  <c r="B93" i="1"/>
  <c r="AG93" i="1" s="1"/>
  <c r="C92" i="1"/>
  <c r="AC50" i="1" l="1"/>
  <c r="X50" i="1"/>
  <c r="U50" i="1"/>
  <c r="V50" i="1"/>
  <c r="Y50" i="1"/>
  <c r="N63" i="1"/>
  <c r="I52" i="1"/>
  <c r="J52" i="1" s="1"/>
  <c r="P52" i="1" s="1"/>
  <c r="B94" i="1"/>
  <c r="AG94" i="1" s="1"/>
  <c r="C93" i="1"/>
  <c r="K51" i="1" l="1"/>
  <c r="M51" i="1" s="1"/>
  <c r="O51" i="1" s="1"/>
  <c r="AB50" i="1"/>
  <c r="W52" i="1"/>
  <c r="E53" i="1"/>
  <c r="B95" i="1"/>
  <c r="AG95" i="1" s="1"/>
  <c r="C94" i="1"/>
  <c r="S51" i="1" l="1"/>
  <c r="R51" i="1"/>
  <c r="U51" i="1"/>
  <c r="AC51" i="1"/>
  <c r="X51" i="1"/>
  <c r="AD51" i="1"/>
  <c r="Y51" i="1"/>
  <c r="T63" i="1"/>
  <c r="AE51" i="1"/>
  <c r="AF51" i="1"/>
  <c r="H53" i="1"/>
  <c r="G53" i="1" s="1"/>
  <c r="B96" i="1"/>
  <c r="AG96" i="1" s="1"/>
  <c r="C95" i="1"/>
  <c r="V51" i="1" l="1"/>
  <c r="N64" i="1"/>
  <c r="I53" i="1"/>
  <c r="J53" i="1" s="1"/>
  <c r="P53" i="1" s="1"/>
  <c r="B97" i="1"/>
  <c r="AG97" i="1" s="1"/>
  <c r="C96" i="1"/>
  <c r="K52" i="1" l="1"/>
  <c r="AB51" i="1"/>
  <c r="W53" i="1"/>
  <c r="E54" i="1"/>
  <c r="B98" i="1"/>
  <c r="AG98" i="1" s="1"/>
  <c r="C97" i="1"/>
  <c r="M52" i="1" l="1"/>
  <c r="H54" i="1"/>
  <c r="G54" i="1" s="1"/>
  <c r="B99" i="1"/>
  <c r="AG99" i="1" s="1"/>
  <c r="C98" i="1"/>
  <c r="T64" i="1" l="1"/>
  <c r="AE52" i="1"/>
  <c r="S52" i="1"/>
  <c r="AF52" i="1"/>
  <c r="R52" i="1"/>
  <c r="O52" i="1"/>
  <c r="I54" i="1"/>
  <c r="J54" i="1" s="1"/>
  <c r="P54" i="1" s="1"/>
  <c r="N65" i="1"/>
  <c r="B100" i="1"/>
  <c r="AG100" i="1" s="1"/>
  <c r="C99" i="1"/>
  <c r="AC52" i="1" l="1"/>
  <c r="AD52" i="1"/>
  <c r="X52" i="1"/>
  <c r="V52" i="1"/>
  <c r="U52" i="1"/>
  <c r="Y52" i="1"/>
  <c r="W54" i="1"/>
  <c r="E55" i="1"/>
  <c r="B101" i="1"/>
  <c r="AG101" i="1" s="1"/>
  <c r="C100" i="1"/>
  <c r="AB52" i="1" l="1"/>
  <c r="K53" i="1"/>
  <c r="H55" i="1"/>
  <c r="G55" i="1" s="1"/>
  <c r="B102" i="1"/>
  <c r="AG102" i="1" s="1"/>
  <c r="C101" i="1"/>
  <c r="M53" i="1" l="1"/>
  <c r="O53" i="1" s="1"/>
  <c r="Y53" i="1" s="1"/>
  <c r="R53" i="1"/>
  <c r="S53" i="1"/>
  <c r="I55" i="1"/>
  <c r="J55" i="1" s="1"/>
  <c r="P55" i="1" s="1"/>
  <c r="N66" i="1"/>
  <c r="B103" i="1"/>
  <c r="AG103" i="1" s="1"/>
  <c r="C102" i="1"/>
  <c r="U53" i="1" l="1"/>
  <c r="AF53" i="1"/>
  <c r="T65" i="1"/>
  <c r="AE53" i="1"/>
  <c r="V53" i="1"/>
  <c r="AD53" i="1"/>
  <c r="X53" i="1"/>
  <c r="AC53" i="1"/>
  <c r="W55" i="1"/>
  <c r="E56" i="1"/>
  <c r="B104" i="1"/>
  <c r="AG104" i="1" s="1"/>
  <c r="C103" i="1"/>
  <c r="K54" i="1" l="1"/>
  <c r="M54" i="1" s="1"/>
  <c r="AB53" i="1"/>
  <c r="AE54" i="1"/>
  <c r="AF54" i="1"/>
  <c r="T66" i="1"/>
  <c r="O54" i="1"/>
  <c r="S54" i="1"/>
  <c r="R54" i="1"/>
  <c r="H56" i="1"/>
  <c r="G56" i="1" s="1"/>
  <c r="B105" i="1"/>
  <c r="AG105" i="1" s="1"/>
  <c r="C104" i="1"/>
  <c r="X54" i="1" l="1"/>
  <c r="AC54" i="1"/>
  <c r="AD54" i="1"/>
  <c r="Y54" i="1"/>
  <c r="U54" i="1"/>
  <c r="V54" i="1"/>
  <c r="N67" i="1"/>
  <c r="I56" i="1"/>
  <c r="J56" i="1" s="1"/>
  <c r="P56" i="1" s="1"/>
  <c r="B106" i="1"/>
  <c r="AG106" i="1" s="1"/>
  <c r="C105" i="1"/>
  <c r="AB54" i="1" l="1"/>
  <c r="K55" i="1"/>
  <c r="W56" i="1"/>
  <c r="E57" i="1"/>
  <c r="B107" i="1"/>
  <c r="AG107" i="1" s="1"/>
  <c r="C106" i="1"/>
  <c r="M55" i="1" l="1"/>
  <c r="H57" i="1"/>
  <c r="G57" i="1" s="1"/>
  <c r="B108" i="1"/>
  <c r="AG108" i="1" s="1"/>
  <c r="C107" i="1"/>
  <c r="AF55" i="1" l="1"/>
  <c r="AE55" i="1"/>
  <c r="T67" i="1"/>
  <c r="S55" i="1"/>
  <c r="R55" i="1"/>
  <c r="O55" i="1"/>
  <c r="N68" i="1"/>
  <c r="I57" i="1"/>
  <c r="J57" i="1" s="1"/>
  <c r="P57" i="1" s="1"/>
  <c r="B109" i="1"/>
  <c r="AG109" i="1" s="1"/>
  <c r="C108" i="1"/>
  <c r="Y55" i="1" l="1"/>
  <c r="AD55" i="1"/>
  <c r="X55" i="1"/>
  <c r="AC55" i="1"/>
  <c r="U55" i="1"/>
  <c r="V55" i="1"/>
  <c r="W57" i="1"/>
  <c r="E58" i="1"/>
  <c r="B110" i="1"/>
  <c r="AG110" i="1" s="1"/>
  <c r="C109" i="1"/>
  <c r="K56" i="1" l="1"/>
  <c r="AB55" i="1"/>
  <c r="H58" i="1"/>
  <c r="G58" i="1" s="1"/>
  <c r="B111" i="1"/>
  <c r="AG111" i="1" s="1"/>
  <c r="C110" i="1"/>
  <c r="M56" i="1" l="1"/>
  <c r="N69" i="1"/>
  <c r="I58" i="1"/>
  <c r="J58" i="1" s="1"/>
  <c r="P58" i="1" s="1"/>
  <c r="B112" i="1"/>
  <c r="AG112" i="1" s="1"/>
  <c r="C111" i="1"/>
  <c r="AE56" i="1" l="1"/>
  <c r="AF56" i="1"/>
  <c r="T68" i="1"/>
  <c r="R56" i="1"/>
  <c r="S56" i="1"/>
  <c r="O56" i="1"/>
  <c r="W58" i="1"/>
  <c r="E59" i="1"/>
  <c r="B113" i="1"/>
  <c r="AG113" i="1" s="1"/>
  <c r="C112" i="1"/>
  <c r="Y56" i="1" l="1"/>
  <c r="V56" i="1"/>
  <c r="AB56" i="1" s="1"/>
  <c r="K57" i="1"/>
  <c r="AC56" i="1"/>
  <c r="X56" i="1"/>
  <c r="AD56" i="1"/>
  <c r="U56" i="1"/>
  <c r="H59" i="1"/>
  <c r="G59" i="1" s="1"/>
  <c r="B114" i="1"/>
  <c r="AG114" i="1" s="1"/>
  <c r="C113" i="1"/>
  <c r="M57" i="1" l="1"/>
  <c r="R57" i="1" s="1"/>
  <c r="N70" i="1"/>
  <c r="I59" i="1"/>
  <c r="J59" i="1" s="1"/>
  <c r="P59" i="1" s="1"/>
  <c r="B115" i="1"/>
  <c r="AG115" i="1" s="1"/>
  <c r="C114" i="1"/>
  <c r="AF57" i="1" l="1"/>
  <c r="AE57" i="1"/>
  <c r="T69" i="1"/>
  <c r="S57" i="1"/>
  <c r="O57" i="1"/>
  <c r="W59" i="1"/>
  <c r="E60" i="1"/>
  <c r="B116" i="1"/>
  <c r="AG116" i="1" s="1"/>
  <c r="C115" i="1"/>
  <c r="X57" i="1" l="1"/>
  <c r="AD57" i="1"/>
  <c r="AC57" i="1"/>
  <c r="V57" i="1"/>
  <c r="U57" i="1"/>
  <c r="Y57" i="1"/>
  <c r="H60" i="1"/>
  <c r="G60" i="1" s="1"/>
  <c r="B117" i="1"/>
  <c r="AG117" i="1" s="1"/>
  <c r="C116" i="1"/>
  <c r="AB57" i="1" l="1"/>
  <c r="K58" i="1"/>
  <c r="I60" i="1"/>
  <c r="J60" i="1" s="1"/>
  <c r="P60" i="1" s="1"/>
  <c r="N71" i="1"/>
  <c r="B118" i="1"/>
  <c r="AG118" i="1" s="1"/>
  <c r="C117" i="1"/>
  <c r="M58" i="1" l="1"/>
  <c r="R58" i="1" s="1"/>
  <c r="W60" i="1"/>
  <c r="E61" i="1"/>
  <c r="B119" i="1"/>
  <c r="AG119" i="1" s="1"/>
  <c r="C118" i="1"/>
  <c r="AF58" i="1" l="1"/>
  <c r="AE58" i="1"/>
  <c r="T70" i="1"/>
  <c r="S58" i="1"/>
  <c r="O58" i="1"/>
  <c r="H61" i="1"/>
  <c r="G61" i="1" s="1"/>
  <c r="B120" i="1"/>
  <c r="AG120" i="1" s="1"/>
  <c r="C119" i="1"/>
  <c r="X58" i="1" l="1"/>
  <c r="AD58" i="1"/>
  <c r="AC58" i="1"/>
  <c r="V58" i="1"/>
  <c r="U58" i="1"/>
  <c r="Y58" i="1"/>
  <c r="I61" i="1"/>
  <c r="J61" i="1" s="1"/>
  <c r="P61" i="1" s="1"/>
  <c r="N72" i="1"/>
  <c r="B121" i="1"/>
  <c r="AG121" i="1" s="1"/>
  <c r="C120" i="1"/>
  <c r="K59" i="1" l="1"/>
  <c r="AB58" i="1"/>
  <c r="W61" i="1"/>
  <c r="E62" i="1"/>
  <c r="B122" i="1"/>
  <c r="AG122" i="1" s="1"/>
  <c r="C121" i="1"/>
  <c r="M59" i="1" l="1"/>
  <c r="R59" i="1" s="1"/>
  <c r="H62" i="1"/>
  <c r="G62" i="1" s="1"/>
  <c r="B123" i="1"/>
  <c r="AG123" i="1" s="1"/>
  <c r="C122" i="1"/>
  <c r="AF59" i="1" l="1"/>
  <c r="AE59" i="1"/>
  <c r="T71" i="1"/>
  <c r="O59" i="1"/>
  <c r="S59" i="1"/>
  <c r="V59" i="1" s="1"/>
  <c r="I62" i="1"/>
  <c r="J62" i="1" s="1"/>
  <c r="P62" i="1" s="1"/>
  <c r="N73" i="1"/>
  <c r="B124" i="1"/>
  <c r="AG124" i="1" s="1"/>
  <c r="C123" i="1"/>
  <c r="Y59" i="1" l="1"/>
  <c r="AB59" i="1"/>
  <c r="K60" i="1"/>
  <c r="X59" i="1"/>
  <c r="AC59" i="1"/>
  <c r="AD59" i="1"/>
  <c r="U59" i="1"/>
  <c r="W62" i="1"/>
  <c r="E63" i="1"/>
  <c r="B125" i="1"/>
  <c r="AG125" i="1" s="1"/>
  <c r="C124" i="1"/>
  <c r="M60" i="1" l="1"/>
  <c r="H63" i="1"/>
  <c r="G63" i="1" s="1"/>
  <c r="B126" i="1"/>
  <c r="AG126" i="1" s="1"/>
  <c r="C125" i="1"/>
  <c r="AE60" i="1" l="1"/>
  <c r="AF60" i="1"/>
  <c r="T72" i="1"/>
  <c r="O60" i="1"/>
  <c r="R60" i="1"/>
  <c r="S60" i="1"/>
  <c r="N74" i="1"/>
  <c r="I63" i="1"/>
  <c r="J63" i="1" s="1"/>
  <c r="P63" i="1" s="1"/>
  <c r="B127" i="1"/>
  <c r="AG127" i="1" s="1"/>
  <c r="C126" i="1"/>
  <c r="V60" i="1" l="1"/>
  <c r="X60" i="1"/>
  <c r="AD60" i="1"/>
  <c r="AC60" i="1"/>
  <c r="Y60" i="1"/>
  <c r="U60" i="1"/>
  <c r="W63" i="1"/>
  <c r="E64" i="1"/>
  <c r="B128" i="1"/>
  <c r="AG128" i="1" s="1"/>
  <c r="C127" i="1"/>
  <c r="AB60" i="1" l="1"/>
  <c r="K61" i="1"/>
  <c r="M61" i="1" s="1"/>
  <c r="H64" i="1"/>
  <c r="G64" i="1" s="1"/>
  <c r="B129" i="1"/>
  <c r="AG129" i="1" s="1"/>
  <c r="C128" i="1"/>
  <c r="S61" i="1" l="1"/>
  <c r="R61" i="1"/>
  <c r="AE61" i="1"/>
  <c r="AF61" i="1"/>
  <c r="T73" i="1"/>
  <c r="O61" i="1"/>
  <c r="N75" i="1"/>
  <c r="I64" i="1"/>
  <c r="J64" i="1" s="1"/>
  <c r="P64" i="1" s="1"/>
  <c r="B130" i="1"/>
  <c r="AG130" i="1" s="1"/>
  <c r="C129" i="1"/>
  <c r="AC61" i="1" l="1"/>
  <c r="AD61" i="1"/>
  <c r="X61" i="1"/>
  <c r="Y61" i="1"/>
  <c r="U61" i="1"/>
  <c r="V61" i="1"/>
  <c r="W64" i="1"/>
  <c r="E65" i="1"/>
  <c r="B131" i="1"/>
  <c r="AG131" i="1" s="1"/>
  <c r="C130" i="1"/>
  <c r="AB61" i="1" l="1"/>
  <c r="K62" i="1"/>
  <c r="M62" i="1" s="1"/>
  <c r="H65" i="1"/>
  <c r="G65" i="1" s="1"/>
  <c r="B132" i="1"/>
  <c r="AG132" i="1" s="1"/>
  <c r="C131" i="1"/>
  <c r="AF62" i="1" l="1"/>
  <c r="AE62" i="1"/>
  <c r="T74" i="1"/>
  <c r="R62" i="1"/>
  <c r="O62" i="1"/>
  <c r="S62" i="1"/>
  <c r="I65" i="1"/>
  <c r="J65" i="1" s="1"/>
  <c r="P65" i="1" s="1"/>
  <c r="N76" i="1"/>
  <c r="B133" i="1"/>
  <c r="AG133" i="1" s="1"/>
  <c r="C132" i="1"/>
  <c r="V62" i="1" l="1"/>
  <c r="X62" i="1"/>
  <c r="AC62" i="1"/>
  <c r="AD62" i="1"/>
  <c r="U62" i="1"/>
  <c r="Y62" i="1"/>
  <c r="W65" i="1"/>
  <c r="E66" i="1"/>
  <c r="B134" i="1"/>
  <c r="AG134" i="1" s="1"/>
  <c r="C133" i="1"/>
  <c r="K63" i="1" l="1"/>
  <c r="M63" i="1" s="1"/>
  <c r="O63" i="1" s="1"/>
  <c r="AB62" i="1"/>
  <c r="H66" i="1"/>
  <c r="G66" i="1" s="1"/>
  <c r="B135" i="1"/>
  <c r="AG135" i="1" s="1"/>
  <c r="C134" i="1"/>
  <c r="AF63" i="1" l="1"/>
  <c r="AE63" i="1"/>
  <c r="T75" i="1"/>
  <c r="S63" i="1"/>
  <c r="R63" i="1"/>
  <c r="I66" i="1"/>
  <c r="J66" i="1" s="1"/>
  <c r="P66" i="1" s="1"/>
  <c r="N77" i="1"/>
  <c r="B136" i="1"/>
  <c r="AG136" i="1" s="1"/>
  <c r="C135" i="1"/>
  <c r="V63" i="1" l="1"/>
  <c r="K64" i="1" s="1"/>
  <c r="AC63" i="1"/>
  <c r="AD63" i="1"/>
  <c r="X63" i="1"/>
  <c r="AB63" i="1"/>
  <c r="Y63" i="1"/>
  <c r="U63" i="1"/>
  <c r="W66" i="1"/>
  <c r="E67" i="1"/>
  <c r="B137" i="1"/>
  <c r="AG137" i="1" s="1"/>
  <c r="C136" i="1"/>
  <c r="M64" i="1" l="1"/>
  <c r="H67" i="1"/>
  <c r="G67" i="1" s="1"/>
  <c r="B138" i="1"/>
  <c r="AG138" i="1" s="1"/>
  <c r="C137" i="1"/>
  <c r="AE64" i="1" l="1"/>
  <c r="AF64" i="1"/>
  <c r="T76" i="1"/>
  <c r="R64" i="1"/>
  <c r="S64" i="1"/>
  <c r="O64" i="1"/>
  <c r="N78" i="1"/>
  <c r="I67" i="1"/>
  <c r="J67" i="1" s="1"/>
  <c r="P67" i="1" s="1"/>
  <c r="B139" i="1"/>
  <c r="AG139" i="1" s="1"/>
  <c r="C138" i="1"/>
  <c r="X64" i="1" l="1"/>
  <c r="AC64" i="1"/>
  <c r="AD64" i="1"/>
  <c r="Y64" i="1"/>
  <c r="U64" i="1"/>
  <c r="V64" i="1"/>
  <c r="W67" i="1"/>
  <c r="E68" i="1"/>
  <c r="B140" i="1"/>
  <c r="AG140" i="1" s="1"/>
  <c r="C139" i="1"/>
  <c r="AB64" i="1" l="1"/>
  <c r="K65" i="1"/>
  <c r="H68" i="1"/>
  <c r="G68" i="1" s="1"/>
  <c r="B141" i="1"/>
  <c r="AG141" i="1" s="1"/>
  <c r="C140" i="1"/>
  <c r="M65" i="1" l="1"/>
  <c r="I68" i="1"/>
  <c r="J68" i="1" s="1"/>
  <c r="P68" i="1" s="1"/>
  <c r="N79" i="1"/>
  <c r="B142" i="1"/>
  <c r="AG142" i="1" s="1"/>
  <c r="C141" i="1"/>
  <c r="AF65" i="1" l="1"/>
  <c r="AE65" i="1"/>
  <c r="T77" i="1"/>
  <c r="O65" i="1"/>
  <c r="R65" i="1"/>
  <c r="S65" i="1"/>
  <c r="W68" i="1"/>
  <c r="E69" i="1"/>
  <c r="B143" i="1"/>
  <c r="AG143" i="1" s="1"/>
  <c r="C142" i="1"/>
  <c r="V65" i="1" l="1"/>
  <c r="K66" i="1"/>
  <c r="AB65" i="1"/>
  <c r="X65" i="1"/>
  <c r="AD65" i="1"/>
  <c r="AC65" i="1"/>
  <c r="Y65" i="1"/>
  <c r="U65" i="1"/>
  <c r="H69" i="1"/>
  <c r="G69" i="1" s="1"/>
  <c r="B144" i="1"/>
  <c r="AG144" i="1" s="1"/>
  <c r="C143" i="1"/>
  <c r="M66" i="1" l="1"/>
  <c r="N80" i="1"/>
  <c r="I69" i="1"/>
  <c r="J69" i="1" s="1"/>
  <c r="P69" i="1" s="1"/>
  <c r="B145" i="1"/>
  <c r="AG145" i="1" s="1"/>
  <c r="C144" i="1"/>
  <c r="AE66" i="1" l="1"/>
  <c r="AF66" i="1"/>
  <c r="T78" i="1"/>
  <c r="R66" i="1"/>
  <c r="S66" i="1"/>
  <c r="O66" i="1"/>
  <c r="W69" i="1"/>
  <c r="E70" i="1"/>
  <c r="B146" i="1"/>
  <c r="AG146" i="1" s="1"/>
  <c r="C145" i="1"/>
  <c r="V66" i="1" l="1"/>
  <c r="Y66" i="1"/>
  <c r="U66" i="1"/>
  <c r="X66" i="1"/>
  <c r="AD66" i="1"/>
  <c r="AC66" i="1"/>
  <c r="H70" i="1"/>
  <c r="G70" i="1" s="1"/>
  <c r="B147" i="1"/>
  <c r="AG147" i="1" s="1"/>
  <c r="C146" i="1"/>
  <c r="K67" i="1" l="1"/>
  <c r="AB66" i="1"/>
  <c r="M67" i="1"/>
  <c r="N81" i="1"/>
  <c r="I70" i="1"/>
  <c r="J70" i="1" s="1"/>
  <c r="P70" i="1" s="1"/>
  <c r="B148" i="1"/>
  <c r="AG148" i="1" s="1"/>
  <c r="C147" i="1"/>
  <c r="AF67" i="1" l="1"/>
  <c r="AE67" i="1"/>
  <c r="T79" i="1"/>
  <c r="R67" i="1"/>
  <c r="S67" i="1"/>
  <c r="O67" i="1"/>
  <c r="W70" i="1"/>
  <c r="E71" i="1"/>
  <c r="B149" i="1"/>
  <c r="AG149" i="1" s="1"/>
  <c r="C148" i="1"/>
  <c r="V67" i="1" l="1"/>
  <c r="Y67" i="1"/>
  <c r="K68" i="1"/>
  <c r="AB67" i="1"/>
  <c r="X67" i="1"/>
  <c r="AC67" i="1"/>
  <c r="AD67" i="1"/>
  <c r="U67" i="1"/>
  <c r="H71" i="1"/>
  <c r="G71" i="1" s="1"/>
  <c r="B150" i="1"/>
  <c r="AG150" i="1" s="1"/>
  <c r="C149" i="1"/>
  <c r="M68" i="1" l="1"/>
  <c r="O68" i="1" s="1"/>
  <c r="I71" i="1"/>
  <c r="J71" i="1" s="1"/>
  <c r="P71" i="1" s="1"/>
  <c r="N82" i="1"/>
  <c r="B151" i="1"/>
  <c r="AG151" i="1" s="1"/>
  <c r="C150" i="1"/>
  <c r="AF68" i="1" l="1"/>
  <c r="AE68" i="1"/>
  <c r="T80" i="1"/>
  <c r="S68" i="1"/>
  <c r="R68" i="1"/>
  <c r="V68" i="1" s="1"/>
  <c r="W71" i="1"/>
  <c r="E72" i="1"/>
  <c r="B152" i="1"/>
  <c r="AG152" i="1" s="1"/>
  <c r="C151" i="1"/>
  <c r="K69" i="1" l="1"/>
  <c r="AB68" i="1"/>
  <c r="X68" i="1"/>
  <c r="AC68" i="1"/>
  <c r="AD68" i="1"/>
  <c r="Y68" i="1"/>
  <c r="U68" i="1"/>
  <c r="H72" i="1"/>
  <c r="G72" i="1" s="1"/>
  <c r="B153" i="1"/>
  <c r="AG153" i="1" s="1"/>
  <c r="C152" i="1"/>
  <c r="M69" i="1" l="1"/>
  <c r="N83" i="1"/>
  <c r="I72" i="1"/>
  <c r="J72" i="1" s="1"/>
  <c r="P72" i="1" s="1"/>
  <c r="B154" i="1"/>
  <c r="AG154" i="1" s="1"/>
  <c r="C153" i="1"/>
  <c r="AE69" i="1" l="1"/>
  <c r="AF69" i="1"/>
  <c r="T81" i="1"/>
  <c r="R69" i="1"/>
  <c r="S69" i="1"/>
  <c r="O69" i="1"/>
  <c r="W72" i="1"/>
  <c r="E73" i="1"/>
  <c r="B155" i="1"/>
  <c r="AG155" i="1" s="1"/>
  <c r="C154" i="1"/>
  <c r="Y69" i="1" l="1"/>
  <c r="V69" i="1"/>
  <c r="K70" i="1"/>
  <c r="AB69" i="1"/>
  <c r="X69" i="1"/>
  <c r="AC69" i="1"/>
  <c r="AD69" i="1"/>
  <c r="U69" i="1"/>
  <c r="H73" i="1"/>
  <c r="G73" i="1" s="1"/>
  <c r="B156" i="1"/>
  <c r="AG156" i="1" s="1"/>
  <c r="C155" i="1"/>
  <c r="M70" i="1" l="1"/>
  <c r="I73" i="1"/>
  <c r="J73" i="1" s="1"/>
  <c r="P73" i="1" s="1"/>
  <c r="N84" i="1"/>
  <c r="B157" i="1"/>
  <c r="AG157" i="1" s="1"/>
  <c r="C156" i="1"/>
  <c r="AE70" i="1" l="1"/>
  <c r="AF70" i="1"/>
  <c r="T82" i="1"/>
  <c r="O70" i="1"/>
  <c r="R70" i="1"/>
  <c r="S70" i="1"/>
  <c r="W73" i="1"/>
  <c r="E74" i="1"/>
  <c r="B158" i="1"/>
  <c r="AG158" i="1" s="1"/>
  <c r="C157" i="1"/>
  <c r="V70" i="1" l="1"/>
  <c r="X70" i="1"/>
  <c r="AC70" i="1"/>
  <c r="AD70" i="1"/>
  <c r="Y70" i="1"/>
  <c r="U70" i="1"/>
  <c r="H74" i="1"/>
  <c r="G74" i="1" s="1"/>
  <c r="B159" i="1"/>
  <c r="AG159" i="1" s="1"/>
  <c r="C158" i="1"/>
  <c r="K71" i="1" l="1"/>
  <c r="M71" i="1" s="1"/>
  <c r="AB70" i="1"/>
  <c r="I74" i="1"/>
  <c r="J74" i="1" s="1"/>
  <c r="P74" i="1" s="1"/>
  <c r="N85" i="1"/>
  <c r="B160" i="1"/>
  <c r="AG160" i="1" s="1"/>
  <c r="C159" i="1"/>
  <c r="AF71" i="1" l="1"/>
  <c r="AE71" i="1"/>
  <c r="T83" i="1"/>
  <c r="R71" i="1"/>
  <c r="S71" i="1"/>
  <c r="O71" i="1"/>
  <c r="W74" i="1"/>
  <c r="E75" i="1"/>
  <c r="B161" i="1"/>
  <c r="AG161" i="1" s="1"/>
  <c r="C160" i="1"/>
  <c r="Y71" i="1" l="1"/>
  <c r="V71" i="1"/>
  <c r="K72" i="1"/>
  <c r="AB71" i="1"/>
  <c r="AC71" i="1"/>
  <c r="X71" i="1"/>
  <c r="AD71" i="1"/>
  <c r="U71" i="1"/>
  <c r="H75" i="1"/>
  <c r="G75" i="1" s="1"/>
  <c r="B162" i="1"/>
  <c r="AG162" i="1" s="1"/>
  <c r="C161" i="1"/>
  <c r="M72" i="1" l="1"/>
  <c r="I75" i="1"/>
  <c r="J75" i="1" s="1"/>
  <c r="P75" i="1" s="1"/>
  <c r="N86" i="1"/>
  <c r="B163" i="1"/>
  <c r="AG163" i="1" s="1"/>
  <c r="C162" i="1"/>
  <c r="AF72" i="1" l="1"/>
  <c r="AE72" i="1"/>
  <c r="T84" i="1"/>
  <c r="O72" i="1"/>
  <c r="R72" i="1"/>
  <c r="S72" i="1"/>
  <c r="W75" i="1"/>
  <c r="E76" i="1"/>
  <c r="B164" i="1"/>
  <c r="AG164" i="1" s="1"/>
  <c r="C163" i="1"/>
  <c r="X72" i="1" l="1"/>
  <c r="AD72" i="1"/>
  <c r="AC72" i="1"/>
  <c r="Y72" i="1"/>
  <c r="U72" i="1"/>
  <c r="V72" i="1"/>
  <c r="H76" i="1"/>
  <c r="G76" i="1" s="1"/>
  <c r="B165" i="1"/>
  <c r="AG165" i="1" s="1"/>
  <c r="C164" i="1"/>
  <c r="AB72" i="1" l="1"/>
  <c r="K73" i="1"/>
  <c r="I76" i="1"/>
  <c r="J76" i="1" s="1"/>
  <c r="P76" i="1" s="1"/>
  <c r="N87" i="1"/>
  <c r="B166" i="1"/>
  <c r="AG166" i="1" s="1"/>
  <c r="C165" i="1"/>
  <c r="M73" i="1" l="1"/>
  <c r="W76" i="1"/>
  <c r="E77" i="1"/>
  <c r="B167" i="1"/>
  <c r="AG167" i="1" s="1"/>
  <c r="C166" i="1"/>
  <c r="AE73" i="1" l="1"/>
  <c r="AF73" i="1"/>
  <c r="T85" i="1"/>
  <c r="S73" i="1"/>
  <c r="O73" i="1"/>
  <c r="R73" i="1"/>
  <c r="H77" i="1"/>
  <c r="G77" i="1" s="1"/>
  <c r="B168" i="1"/>
  <c r="AG168" i="1" s="1"/>
  <c r="C167" i="1"/>
  <c r="AC73" i="1" l="1"/>
  <c r="AD73" i="1"/>
  <c r="X73" i="1"/>
  <c r="Y73" i="1"/>
  <c r="U73" i="1"/>
  <c r="V73" i="1"/>
  <c r="N88" i="1"/>
  <c r="I77" i="1"/>
  <c r="J77" i="1" s="1"/>
  <c r="P77" i="1" s="1"/>
  <c r="B169" i="1"/>
  <c r="AG169" i="1" s="1"/>
  <c r="C168" i="1"/>
  <c r="AB73" i="1" l="1"/>
  <c r="K74" i="1"/>
  <c r="W77" i="1"/>
  <c r="E78" i="1"/>
  <c r="B170" i="1"/>
  <c r="AG170" i="1" s="1"/>
  <c r="C169" i="1"/>
  <c r="M74" i="1" l="1"/>
  <c r="H78" i="1"/>
  <c r="G78" i="1" s="1"/>
  <c r="B171" i="1"/>
  <c r="AG171" i="1" s="1"/>
  <c r="C170" i="1"/>
  <c r="AF74" i="1" l="1"/>
  <c r="AE74" i="1"/>
  <c r="T86" i="1"/>
  <c r="S74" i="1"/>
  <c r="O74" i="1"/>
  <c r="R74" i="1"/>
  <c r="I78" i="1"/>
  <c r="J78" i="1" s="1"/>
  <c r="P78" i="1" s="1"/>
  <c r="N89" i="1"/>
  <c r="B172" i="1"/>
  <c r="AG172" i="1" s="1"/>
  <c r="C171" i="1"/>
  <c r="V74" i="1" l="1"/>
  <c r="AC74" i="1"/>
  <c r="X74" i="1"/>
  <c r="AD74" i="1"/>
  <c r="U74" i="1"/>
  <c r="Y74" i="1"/>
  <c r="W78" i="1"/>
  <c r="E79" i="1"/>
  <c r="B173" i="1"/>
  <c r="AG173" i="1" s="1"/>
  <c r="C172" i="1"/>
  <c r="K75" i="1" l="1"/>
  <c r="AB74" i="1"/>
  <c r="M75" i="1"/>
  <c r="H79" i="1"/>
  <c r="G79" i="1" s="1"/>
  <c r="B174" i="1"/>
  <c r="AG174" i="1" s="1"/>
  <c r="C173" i="1"/>
  <c r="S75" i="1" l="1"/>
  <c r="O75" i="1"/>
  <c r="AC75" i="1"/>
  <c r="X75" i="1"/>
  <c r="AF75" i="1"/>
  <c r="AE75" i="1"/>
  <c r="T87" i="1"/>
  <c r="R75" i="1"/>
  <c r="I79" i="1"/>
  <c r="J79" i="1" s="1"/>
  <c r="P79" i="1" s="1"/>
  <c r="N90" i="1"/>
  <c r="B175" i="1"/>
  <c r="AG175" i="1" s="1"/>
  <c r="C174" i="1"/>
  <c r="Y75" i="1" l="1"/>
  <c r="V75" i="1"/>
  <c r="U75" i="1"/>
  <c r="AD75" i="1"/>
  <c r="W79" i="1"/>
  <c r="E80" i="1"/>
  <c r="B176" i="1"/>
  <c r="AG176" i="1" s="1"/>
  <c r="C175" i="1"/>
  <c r="K76" i="1" l="1"/>
  <c r="AB75" i="1"/>
  <c r="H80" i="1"/>
  <c r="G80" i="1" s="1"/>
  <c r="B177" i="1"/>
  <c r="AG177" i="1" s="1"/>
  <c r="C176" i="1"/>
  <c r="M76" i="1" l="1"/>
  <c r="N91" i="1"/>
  <c r="I80" i="1"/>
  <c r="J80" i="1" s="1"/>
  <c r="P80" i="1" s="1"/>
  <c r="B178" i="1"/>
  <c r="AG178" i="1" s="1"/>
  <c r="C177" i="1"/>
  <c r="AF76" i="1" l="1"/>
  <c r="AE76" i="1"/>
  <c r="T88" i="1"/>
  <c r="S76" i="1"/>
  <c r="R76" i="1"/>
  <c r="O76" i="1"/>
  <c r="W80" i="1"/>
  <c r="E81" i="1"/>
  <c r="B179" i="1"/>
  <c r="AG179" i="1" s="1"/>
  <c r="C178" i="1"/>
  <c r="Y76" i="1" l="1"/>
  <c r="X76" i="1"/>
  <c r="AC76" i="1"/>
  <c r="AD76" i="1"/>
  <c r="U76" i="1"/>
  <c r="V76" i="1"/>
  <c r="H81" i="1"/>
  <c r="G81" i="1" s="1"/>
  <c r="B180" i="1"/>
  <c r="AG180" i="1" s="1"/>
  <c r="C179" i="1"/>
  <c r="AB76" i="1" l="1"/>
  <c r="K77" i="1"/>
  <c r="I81" i="1"/>
  <c r="J81" i="1" s="1"/>
  <c r="P81" i="1" s="1"/>
  <c r="N92" i="1"/>
  <c r="B181" i="1"/>
  <c r="AG181" i="1" s="1"/>
  <c r="C180" i="1"/>
  <c r="M77" i="1" l="1"/>
  <c r="W81" i="1"/>
  <c r="E82" i="1"/>
  <c r="B182" i="1"/>
  <c r="AG182" i="1" s="1"/>
  <c r="C181" i="1"/>
  <c r="AF77" i="1" l="1"/>
  <c r="AE77" i="1"/>
  <c r="T89" i="1"/>
  <c r="O77" i="1"/>
  <c r="R77" i="1"/>
  <c r="S77" i="1"/>
  <c r="H82" i="1"/>
  <c r="G82" i="1" s="1"/>
  <c r="B183" i="1"/>
  <c r="AG183" i="1" s="1"/>
  <c r="C182" i="1"/>
  <c r="V77" i="1" l="1"/>
  <c r="X77" i="1"/>
  <c r="AD77" i="1"/>
  <c r="AC77" i="1"/>
  <c r="Y77" i="1"/>
  <c r="U77" i="1"/>
  <c r="N93" i="1"/>
  <c r="I82" i="1"/>
  <c r="J82" i="1" s="1"/>
  <c r="P82" i="1" s="1"/>
  <c r="B184" i="1"/>
  <c r="AG184" i="1" s="1"/>
  <c r="C183" i="1"/>
  <c r="AB77" i="1" l="1"/>
  <c r="K78" i="1"/>
  <c r="M78" i="1"/>
  <c r="W82" i="1"/>
  <c r="E83" i="1"/>
  <c r="B185" i="1"/>
  <c r="AG185" i="1" s="1"/>
  <c r="C184" i="1"/>
  <c r="AF78" i="1" l="1"/>
  <c r="AE78" i="1"/>
  <c r="T90" i="1"/>
  <c r="R78" i="1"/>
  <c r="O78" i="1"/>
  <c r="S78" i="1"/>
  <c r="V78" i="1" s="1"/>
  <c r="H83" i="1"/>
  <c r="G83" i="1" s="1"/>
  <c r="B186" i="1"/>
  <c r="AG186" i="1" s="1"/>
  <c r="C185" i="1"/>
  <c r="K79" i="1" l="1"/>
  <c r="AB78" i="1"/>
  <c r="AC78" i="1"/>
  <c r="X78" i="1"/>
  <c r="AD78" i="1"/>
  <c r="U78" i="1"/>
  <c r="Y78" i="1"/>
  <c r="N94" i="1"/>
  <c r="I83" i="1"/>
  <c r="J83" i="1" s="1"/>
  <c r="P83" i="1" s="1"/>
  <c r="B187" i="1"/>
  <c r="AG187" i="1" s="1"/>
  <c r="C186" i="1"/>
  <c r="M79" i="1" l="1"/>
  <c r="W83" i="1"/>
  <c r="E84" i="1"/>
  <c r="B188" i="1"/>
  <c r="AG188" i="1" s="1"/>
  <c r="C187" i="1"/>
  <c r="AE79" i="1" l="1"/>
  <c r="AF79" i="1"/>
  <c r="T91" i="1"/>
  <c r="O79" i="1"/>
  <c r="R79" i="1"/>
  <c r="S79" i="1"/>
  <c r="H84" i="1"/>
  <c r="G84" i="1" s="1"/>
  <c r="B189" i="1"/>
  <c r="AG189" i="1" s="1"/>
  <c r="C188" i="1"/>
  <c r="V79" i="1" l="1"/>
  <c r="X79" i="1"/>
  <c r="AD79" i="1"/>
  <c r="AC79" i="1"/>
  <c r="Y79" i="1"/>
  <c r="U79" i="1"/>
  <c r="N95" i="1"/>
  <c r="I84" i="1"/>
  <c r="J84" i="1" s="1"/>
  <c r="P84" i="1" s="1"/>
  <c r="B190" i="1"/>
  <c r="AG190" i="1" s="1"/>
  <c r="C189" i="1"/>
  <c r="K80" i="1" l="1"/>
  <c r="M80" i="1" s="1"/>
  <c r="AB79" i="1"/>
  <c r="W84" i="1"/>
  <c r="E85" i="1"/>
  <c r="B191" i="1"/>
  <c r="AG191" i="1" s="1"/>
  <c r="C190" i="1"/>
  <c r="AE80" i="1" l="1"/>
  <c r="AF80" i="1"/>
  <c r="T92" i="1"/>
  <c r="R80" i="1"/>
  <c r="S80" i="1"/>
  <c r="O80" i="1"/>
  <c r="H85" i="1"/>
  <c r="G85" i="1" s="1"/>
  <c r="B192" i="1"/>
  <c r="AG192" i="1" s="1"/>
  <c r="C191" i="1"/>
  <c r="Y80" i="1" l="1"/>
  <c r="V80" i="1"/>
  <c r="X80" i="1"/>
  <c r="AC80" i="1"/>
  <c r="AD80" i="1"/>
  <c r="U80" i="1"/>
  <c r="I85" i="1"/>
  <c r="J85" i="1" s="1"/>
  <c r="P85" i="1" s="1"/>
  <c r="N96" i="1"/>
  <c r="B193" i="1"/>
  <c r="AG193" i="1" s="1"/>
  <c r="C192" i="1"/>
  <c r="K81" i="1" l="1"/>
  <c r="AB80" i="1"/>
  <c r="M81" i="1"/>
  <c r="W85" i="1"/>
  <c r="E86" i="1"/>
  <c r="B194" i="1"/>
  <c r="AG194" i="1" s="1"/>
  <c r="C193" i="1"/>
  <c r="AF81" i="1" l="1"/>
  <c r="AE81" i="1"/>
  <c r="T93" i="1"/>
  <c r="S81" i="1"/>
  <c r="R81" i="1"/>
  <c r="O81" i="1"/>
  <c r="H86" i="1"/>
  <c r="G86" i="1" s="1"/>
  <c r="B195" i="1"/>
  <c r="AG195" i="1" s="1"/>
  <c r="C194" i="1"/>
  <c r="AC81" i="1" l="1"/>
  <c r="AD81" i="1"/>
  <c r="X81" i="1"/>
  <c r="Y81" i="1"/>
  <c r="U81" i="1"/>
  <c r="V81" i="1"/>
  <c r="I86" i="1"/>
  <c r="J86" i="1" s="1"/>
  <c r="P86" i="1" s="1"/>
  <c r="N97" i="1"/>
  <c r="B196" i="1"/>
  <c r="AG196" i="1" s="1"/>
  <c r="C195" i="1"/>
  <c r="AB81" i="1" l="1"/>
  <c r="K82" i="1"/>
  <c r="W86" i="1"/>
  <c r="E87" i="1"/>
  <c r="B197" i="1"/>
  <c r="AG197" i="1" s="1"/>
  <c r="C196" i="1"/>
  <c r="M82" i="1" l="1"/>
  <c r="H87" i="1"/>
  <c r="G87" i="1" s="1"/>
  <c r="B198" i="1"/>
  <c r="AG198" i="1" s="1"/>
  <c r="C197" i="1"/>
  <c r="AE82" i="1" l="1"/>
  <c r="AF82" i="1"/>
  <c r="T94" i="1"/>
  <c r="S82" i="1"/>
  <c r="R82" i="1"/>
  <c r="O82" i="1"/>
  <c r="Y82" i="1" s="1"/>
  <c r="I87" i="1"/>
  <c r="J87" i="1" s="1"/>
  <c r="P87" i="1" s="1"/>
  <c r="N98" i="1"/>
  <c r="B199" i="1"/>
  <c r="AG199" i="1" s="1"/>
  <c r="C198" i="1"/>
  <c r="AC82" i="1" l="1"/>
  <c r="AD82" i="1"/>
  <c r="X82" i="1"/>
  <c r="V82" i="1"/>
  <c r="U82" i="1"/>
  <c r="W87" i="1"/>
  <c r="E88" i="1"/>
  <c r="B200" i="1"/>
  <c r="AG200" i="1" s="1"/>
  <c r="C199" i="1"/>
  <c r="K83" i="1" l="1"/>
  <c r="AB82" i="1"/>
  <c r="H88" i="1"/>
  <c r="G88" i="1" s="1"/>
  <c r="B201" i="1"/>
  <c r="AG201" i="1" s="1"/>
  <c r="C200" i="1"/>
  <c r="M83" i="1" l="1"/>
  <c r="R83" i="1" s="1"/>
  <c r="N99" i="1"/>
  <c r="I88" i="1"/>
  <c r="J88" i="1" s="1"/>
  <c r="P88" i="1" s="1"/>
  <c r="B202" i="1"/>
  <c r="AG202" i="1" s="1"/>
  <c r="C201" i="1"/>
  <c r="AE83" i="1" l="1"/>
  <c r="AF83" i="1"/>
  <c r="T95" i="1"/>
  <c r="S83" i="1"/>
  <c r="O83" i="1"/>
  <c r="W88" i="1"/>
  <c r="E89" i="1"/>
  <c r="B203" i="1"/>
  <c r="AG203" i="1" s="1"/>
  <c r="C202" i="1"/>
  <c r="AC83" i="1" l="1"/>
  <c r="X83" i="1"/>
  <c r="AD83" i="1"/>
  <c r="V83" i="1"/>
  <c r="U83" i="1"/>
  <c r="Y83" i="1"/>
  <c r="H89" i="1"/>
  <c r="G89" i="1" s="1"/>
  <c r="B204" i="1"/>
  <c r="AG204" i="1" s="1"/>
  <c r="C203" i="1"/>
  <c r="K84" i="1" l="1"/>
  <c r="AB83" i="1"/>
  <c r="I89" i="1"/>
  <c r="J89" i="1" s="1"/>
  <c r="P89" i="1" s="1"/>
  <c r="N100" i="1"/>
  <c r="B205" i="1"/>
  <c r="AG205" i="1" s="1"/>
  <c r="C204" i="1"/>
  <c r="M84" i="1" l="1"/>
  <c r="W89" i="1"/>
  <c r="E90" i="1"/>
  <c r="B206" i="1"/>
  <c r="AG206" i="1" s="1"/>
  <c r="C205" i="1"/>
  <c r="AF84" i="1" l="1"/>
  <c r="AE84" i="1"/>
  <c r="T96" i="1"/>
  <c r="O84" i="1"/>
  <c r="S84" i="1"/>
  <c r="R84" i="1"/>
  <c r="H90" i="1"/>
  <c r="G90" i="1" s="1"/>
  <c r="B207" i="1"/>
  <c r="AG207" i="1" s="1"/>
  <c r="C206" i="1"/>
  <c r="X84" i="1" l="1"/>
  <c r="AD84" i="1"/>
  <c r="AC84" i="1"/>
  <c r="Y84" i="1"/>
  <c r="U84" i="1"/>
  <c r="V84" i="1"/>
  <c r="N101" i="1"/>
  <c r="I90" i="1"/>
  <c r="J90" i="1" s="1"/>
  <c r="P90" i="1" s="1"/>
  <c r="B208" i="1"/>
  <c r="AG208" i="1" s="1"/>
  <c r="C207" i="1"/>
  <c r="AB84" i="1" l="1"/>
  <c r="K85" i="1"/>
  <c r="W90" i="1"/>
  <c r="E91" i="1"/>
  <c r="B209" i="1"/>
  <c r="AG209" i="1" s="1"/>
  <c r="C208" i="1"/>
  <c r="M85" i="1" l="1"/>
  <c r="O85" i="1" s="1"/>
  <c r="H91" i="1"/>
  <c r="G91" i="1" s="1"/>
  <c r="B210" i="1"/>
  <c r="AG210" i="1" s="1"/>
  <c r="C209" i="1"/>
  <c r="AE85" i="1" l="1"/>
  <c r="AF85" i="1"/>
  <c r="T97" i="1"/>
  <c r="R85" i="1"/>
  <c r="S85" i="1"/>
  <c r="V85" i="1" s="1"/>
  <c r="N102" i="1"/>
  <c r="I91" i="1"/>
  <c r="J91" i="1" s="1"/>
  <c r="P91" i="1" s="1"/>
  <c r="B211" i="1"/>
  <c r="AG211" i="1" s="1"/>
  <c r="C210" i="1"/>
  <c r="Y85" i="1" l="1"/>
  <c r="U85" i="1"/>
  <c r="AB85" i="1"/>
  <c r="K86" i="1"/>
  <c r="X85" i="1"/>
  <c r="AD85" i="1"/>
  <c r="AC85" i="1"/>
  <c r="W91" i="1"/>
  <c r="E92" i="1"/>
  <c r="B212" i="1"/>
  <c r="AG212" i="1" s="1"/>
  <c r="C211" i="1"/>
  <c r="M86" i="1" l="1"/>
  <c r="H92" i="1"/>
  <c r="G92" i="1" s="1"/>
  <c r="B213" i="1"/>
  <c r="AG213" i="1" s="1"/>
  <c r="C212" i="1"/>
  <c r="AE86" i="1" l="1"/>
  <c r="AF86" i="1"/>
  <c r="T98" i="1"/>
  <c r="O86" i="1"/>
  <c r="S86" i="1"/>
  <c r="R86" i="1"/>
  <c r="I92" i="1"/>
  <c r="J92" i="1" s="1"/>
  <c r="P92" i="1" s="1"/>
  <c r="N103" i="1"/>
  <c r="B214" i="1"/>
  <c r="AG214" i="1" s="1"/>
  <c r="C213" i="1"/>
  <c r="V86" i="1" l="1"/>
  <c r="U86" i="1"/>
  <c r="X86" i="1"/>
  <c r="AC86" i="1"/>
  <c r="AD86" i="1"/>
  <c r="Y86" i="1"/>
  <c r="W92" i="1"/>
  <c r="E93" i="1"/>
  <c r="B215" i="1"/>
  <c r="AG215" i="1" s="1"/>
  <c r="C214" i="1"/>
  <c r="K87" i="1" l="1"/>
  <c r="M87" i="1" s="1"/>
  <c r="AB86" i="1"/>
  <c r="H93" i="1"/>
  <c r="G93" i="1" s="1"/>
  <c r="B216" i="1"/>
  <c r="AG216" i="1" s="1"/>
  <c r="C215" i="1"/>
  <c r="AF87" i="1" l="1"/>
  <c r="AE87" i="1"/>
  <c r="T99" i="1"/>
  <c r="O87" i="1"/>
  <c r="S87" i="1"/>
  <c r="R87" i="1"/>
  <c r="I93" i="1"/>
  <c r="J93" i="1" s="1"/>
  <c r="P93" i="1" s="1"/>
  <c r="N104" i="1"/>
  <c r="B217" i="1"/>
  <c r="AG217" i="1" s="1"/>
  <c r="C216" i="1"/>
  <c r="Y87" i="1" l="1"/>
  <c r="X87" i="1"/>
  <c r="AD87" i="1"/>
  <c r="AC87" i="1"/>
  <c r="V87" i="1"/>
  <c r="U87" i="1"/>
  <c r="W93" i="1"/>
  <c r="E94" i="1"/>
  <c r="B218" i="1"/>
  <c r="AG218" i="1" s="1"/>
  <c r="C217" i="1"/>
  <c r="AB87" i="1" l="1"/>
  <c r="K88" i="1"/>
  <c r="H94" i="1"/>
  <c r="G94" i="1" s="1"/>
  <c r="B219" i="1"/>
  <c r="AG219" i="1" s="1"/>
  <c r="C218" i="1"/>
  <c r="M88" i="1" l="1"/>
  <c r="N105" i="1"/>
  <c r="I94" i="1"/>
  <c r="J94" i="1" s="1"/>
  <c r="P94" i="1" s="1"/>
  <c r="B220" i="1"/>
  <c r="AG220" i="1" s="1"/>
  <c r="C219" i="1"/>
  <c r="AF88" i="1" l="1"/>
  <c r="AE88" i="1"/>
  <c r="T100" i="1"/>
  <c r="O88" i="1"/>
  <c r="R88" i="1"/>
  <c r="S88" i="1"/>
  <c r="W94" i="1"/>
  <c r="E95" i="1"/>
  <c r="B221" i="1"/>
  <c r="AG221" i="1" s="1"/>
  <c r="C220" i="1"/>
  <c r="V88" i="1" l="1"/>
  <c r="Y88" i="1"/>
  <c r="U88" i="1"/>
  <c r="X88" i="1"/>
  <c r="AD88" i="1"/>
  <c r="AC88" i="1"/>
  <c r="H95" i="1"/>
  <c r="G95" i="1" s="1"/>
  <c r="B222" i="1"/>
  <c r="AG222" i="1" s="1"/>
  <c r="C221" i="1"/>
  <c r="AB88" i="1" l="1"/>
  <c r="K89" i="1"/>
  <c r="M89" i="1"/>
  <c r="I95" i="1"/>
  <c r="J95" i="1" s="1"/>
  <c r="P95" i="1" s="1"/>
  <c r="N106" i="1"/>
  <c r="B223" i="1"/>
  <c r="AG223" i="1" s="1"/>
  <c r="C222" i="1"/>
  <c r="O89" i="1" l="1"/>
  <c r="R89" i="1"/>
  <c r="S89" i="1"/>
  <c r="AD89" i="1"/>
  <c r="AE89" i="1"/>
  <c r="AF89" i="1"/>
  <c r="T101" i="1"/>
  <c r="W95" i="1"/>
  <c r="E96" i="1"/>
  <c r="B224" i="1"/>
  <c r="AG224" i="1" s="1"/>
  <c r="C223" i="1"/>
  <c r="U89" i="1" l="1"/>
  <c r="V89" i="1"/>
  <c r="Y89" i="1"/>
  <c r="X89" i="1"/>
  <c r="AC89" i="1"/>
  <c r="H96" i="1"/>
  <c r="G96" i="1" s="1"/>
  <c r="B225" i="1"/>
  <c r="AG225" i="1" s="1"/>
  <c r="C224" i="1"/>
  <c r="K90" i="1" l="1"/>
  <c r="AB89" i="1"/>
  <c r="I96" i="1"/>
  <c r="J96" i="1" s="1"/>
  <c r="P96" i="1" s="1"/>
  <c r="N107" i="1"/>
  <c r="B226" i="1"/>
  <c r="AG226" i="1" s="1"/>
  <c r="C225" i="1"/>
  <c r="M90" i="1" l="1"/>
  <c r="S90" i="1"/>
  <c r="R90" i="1"/>
  <c r="O90" i="1"/>
  <c r="Y90" i="1" s="1"/>
  <c r="T102" i="1"/>
  <c r="AF90" i="1"/>
  <c r="AE90" i="1"/>
  <c r="X90" i="1"/>
  <c r="W96" i="1"/>
  <c r="E97" i="1"/>
  <c r="B227" i="1"/>
  <c r="AG227" i="1" s="1"/>
  <c r="C226" i="1"/>
  <c r="AD90" i="1" l="1"/>
  <c r="AC90" i="1"/>
  <c r="U90" i="1"/>
  <c r="V90" i="1"/>
  <c r="H97" i="1"/>
  <c r="G97" i="1" s="1"/>
  <c r="B228" i="1"/>
  <c r="AG228" i="1" s="1"/>
  <c r="C227" i="1"/>
  <c r="AB90" i="1" l="1"/>
  <c r="K91" i="1"/>
  <c r="M91" i="1"/>
  <c r="O91" i="1"/>
  <c r="I97" i="1"/>
  <c r="J97" i="1" s="1"/>
  <c r="P97" i="1" s="1"/>
  <c r="N108" i="1"/>
  <c r="B229" i="1"/>
  <c r="AG229" i="1" s="1"/>
  <c r="C228" i="1"/>
  <c r="S91" i="1" l="1"/>
  <c r="AC91" i="1" s="1"/>
  <c r="R91" i="1"/>
  <c r="Y91" i="1" s="1"/>
  <c r="AD91" i="1"/>
  <c r="X91" i="1"/>
  <c r="AF91" i="1"/>
  <c r="AE91" i="1"/>
  <c r="T103" i="1"/>
  <c r="W97" i="1"/>
  <c r="E98" i="1"/>
  <c r="B230" i="1"/>
  <c r="AG230" i="1" s="1"/>
  <c r="C229" i="1"/>
  <c r="U91" i="1" l="1"/>
  <c r="V91" i="1"/>
  <c r="H98" i="1"/>
  <c r="G98" i="1" s="1"/>
  <c r="B231" i="1"/>
  <c r="AG231" i="1" s="1"/>
  <c r="C230" i="1"/>
  <c r="AB91" i="1" l="1"/>
  <c r="K92" i="1"/>
  <c r="M92" i="1" s="1"/>
  <c r="N109" i="1"/>
  <c r="I98" i="1"/>
  <c r="J98" i="1" s="1"/>
  <c r="P98" i="1" s="1"/>
  <c r="B232" i="1"/>
  <c r="AG232" i="1" s="1"/>
  <c r="C231" i="1"/>
  <c r="AE92" i="1" l="1"/>
  <c r="AF92" i="1"/>
  <c r="T104" i="1"/>
  <c r="S92" i="1"/>
  <c r="R92" i="1"/>
  <c r="O92" i="1"/>
  <c r="W98" i="1"/>
  <c r="E99" i="1"/>
  <c r="B233" i="1"/>
  <c r="AG233" i="1" s="1"/>
  <c r="C232" i="1"/>
  <c r="Y92" i="1" l="1"/>
  <c r="AC92" i="1"/>
  <c r="AD92" i="1"/>
  <c r="X92" i="1"/>
  <c r="U92" i="1"/>
  <c r="V92" i="1"/>
  <c r="H99" i="1"/>
  <c r="G99" i="1" s="1"/>
  <c r="B234" i="1"/>
  <c r="AG234" i="1" s="1"/>
  <c r="C233" i="1"/>
  <c r="AB92" i="1" l="1"/>
  <c r="K93" i="1"/>
  <c r="N110" i="1"/>
  <c r="I99" i="1"/>
  <c r="J99" i="1" s="1"/>
  <c r="P99" i="1" s="1"/>
  <c r="B235" i="1"/>
  <c r="AG235" i="1" s="1"/>
  <c r="C234" i="1"/>
  <c r="M93" i="1" l="1"/>
  <c r="W99" i="1"/>
  <c r="E100" i="1"/>
  <c r="B236" i="1"/>
  <c r="AG236" i="1" s="1"/>
  <c r="C235" i="1"/>
  <c r="AE93" i="1" l="1"/>
  <c r="AF93" i="1"/>
  <c r="T105" i="1"/>
  <c r="O93" i="1"/>
  <c r="R93" i="1"/>
  <c r="S93" i="1"/>
  <c r="H100" i="1"/>
  <c r="G100" i="1" s="1"/>
  <c r="B237" i="1"/>
  <c r="AG237" i="1" s="1"/>
  <c r="C236" i="1"/>
  <c r="V93" i="1" l="1"/>
  <c r="X93" i="1"/>
  <c r="AD93" i="1"/>
  <c r="AC93" i="1"/>
  <c r="Y93" i="1"/>
  <c r="U93" i="1"/>
  <c r="N111" i="1"/>
  <c r="I100" i="1"/>
  <c r="J100" i="1" s="1"/>
  <c r="P100" i="1" s="1"/>
  <c r="B238" i="1"/>
  <c r="AG238" i="1" s="1"/>
  <c r="C237" i="1"/>
  <c r="AB93" i="1" l="1"/>
  <c r="K94" i="1"/>
  <c r="M94" i="1"/>
  <c r="W100" i="1"/>
  <c r="E101" i="1"/>
  <c r="B239" i="1"/>
  <c r="AG239" i="1" s="1"/>
  <c r="C238" i="1"/>
  <c r="AE94" i="1" l="1"/>
  <c r="AF94" i="1"/>
  <c r="T106" i="1"/>
  <c r="R94" i="1"/>
  <c r="S94" i="1"/>
  <c r="O94" i="1"/>
  <c r="H101" i="1"/>
  <c r="G101" i="1" s="1"/>
  <c r="B240" i="1"/>
  <c r="AG240" i="1" s="1"/>
  <c r="C239" i="1"/>
  <c r="X94" i="1" l="1"/>
  <c r="AD94" i="1"/>
  <c r="AC94" i="1"/>
  <c r="Y94" i="1"/>
  <c r="U94" i="1"/>
  <c r="V94" i="1"/>
  <c r="I101" i="1"/>
  <c r="J101" i="1" s="1"/>
  <c r="P101" i="1" s="1"/>
  <c r="N112" i="1"/>
  <c r="B241" i="1"/>
  <c r="AG241" i="1" s="1"/>
  <c r="C240" i="1"/>
  <c r="AB94" i="1" l="1"/>
  <c r="K95" i="1"/>
  <c r="W101" i="1"/>
  <c r="E102" i="1"/>
  <c r="B242" i="1"/>
  <c r="AG242" i="1" s="1"/>
  <c r="C241" i="1"/>
  <c r="M95" i="1" l="1"/>
  <c r="R95" i="1" s="1"/>
  <c r="H102" i="1"/>
  <c r="G102" i="1" s="1"/>
  <c r="B243" i="1"/>
  <c r="AG243" i="1" s="1"/>
  <c r="C242" i="1"/>
  <c r="AE95" i="1" l="1"/>
  <c r="AF95" i="1"/>
  <c r="T107" i="1"/>
  <c r="O95" i="1"/>
  <c r="S95" i="1"/>
  <c r="V95" i="1" s="1"/>
  <c r="N113" i="1"/>
  <c r="I102" i="1"/>
  <c r="J102" i="1" s="1"/>
  <c r="P102" i="1" s="1"/>
  <c r="B244" i="1"/>
  <c r="AG244" i="1" s="1"/>
  <c r="C243" i="1"/>
  <c r="K96" i="1" l="1"/>
  <c r="AB95" i="1"/>
  <c r="U95" i="1"/>
  <c r="X95" i="1"/>
  <c r="AC95" i="1"/>
  <c r="AD95" i="1"/>
  <c r="Y95" i="1"/>
  <c r="W102" i="1"/>
  <c r="E103" i="1"/>
  <c r="B245" i="1"/>
  <c r="AG245" i="1" s="1"/>
  <c r="C244" i="1"/>
  <c r="M96" i="1" l="1"/>
  <c r="H103" i="1"/>
  <c r="G103" i="1" s="1"/>
  <c r="B246" i="1"/>
  <c r="AG246" i="1" s="1"/>
  <c r="C245" i="1"/>
  <c r="S96" i="1" l="1"/>
  <c r="R96" i="1"/>
  <c r="AF96" i="1"/>
  <c r="AE96" i="1"/>
  <c r="T108" i="1"/>
  <c r="O96" i="1"/>
  <c r="I103" i="1"/>
  <c r="J103" i="1" s="1"/>
  <c r="P103" i="1" s="1"/>
  <c r="N114" i="1"/>
  <c r="B247" i="1"/>
  <c r="AG247" i="1" s="1"/>
  <c r="C246" i="1"/>
  <c r="Y96" i="1" l="1"/>
  <c r="AC96" i="1"/>
  <c r="AD96" i="1"/>
  <c r="X96" i="1"/>
  <c r="V96" i="1"/>
  <c r="U96" i="1"/>
  <c r="W103" i="1"/>
  <c r="E104" i="1"/>
  <c r="B248" i="1"/>
  <c r="AG248" i="1" s="1"/>
  <c r="C247" i="1"/>
  <c r="AB96" i="1" l="1"/>
  <c r="K97" i="1"/>
  <c r="H104" i="1"/>
  <c r="G104" i="1" s="1"/>
  <c r="B249" i="1"/>
  <c r="AG249" i="1" s="1"/>
  <c r="C248" i="1"/>
  <c r="M97" i="1" l="1"/>
  <c r="O97" i="1" s="1"/>
  <c r="S97" i="1"/>
  <c r="X97" i="1" s="1"/>
  <c r="AC97" i="1"/>
  <c r="I104" i="1"/>
  <c r="J104" i="1" s="1"/>
  <c r="P104" i="1" s="1"/>
  <c r="N115" i="1"/>
  <c r="B250" i="1"/>
  <c r="AG250" i="1" s="1"/>
  <c r="C249" i="1"/>
  <c r="R97" i="1" l="1"/>
  <c r="AE97" i="1"/>
  <c r="AF97" i="1"/>
  <c r="T109" i="1"/>
  <c r="W104" i="1"/>
  <c r="E105" i="1"/>
  <c r="B251" i="1"/>
  <c r="AG251" i="1" s="1"/>
  <c r="C250" i="1"/>
  <c r="V97" i="1" l="1"/>
  <c r="U97" i="1"/>
  <c r="AD97" i="1"/>
  <c r="Y97" i="1"/>
  <c r="H105" i="1"/>
  <c r="G105" i="1" s="1"/>
  <c r="B252" i="1"/>
  <c r="AG252" i="1" s="1"/>
  <c r="C251" i="1"/>
  <c r="K98" i="1" l="1"/>
  <c r="AB97" i="1"/>
  <c r="N116" i="1"/>
  <c r="I105" i="1"/>
  <c r="J105" i="1" s="1"/>
  <c r="P105" i="1" s="1"/>
  <c r="B253" i="1"/>
  <c r="AG253" i="1" s="1"/>
  <c r="C252" i="1"/>
  <c r="M98" i="1" l="1"/>
  <c r="S98" i="1" s="1"/>
  <c r="W105" i="1"/>
  <c r="E106" i="1"/>
  <c r="B254" i="1"/>
  <c r="AG254" i="1" s="1"/>
  <c r="C253" i="1"/>
  <c r="X98" i="1" l="1"/>
  <c r="AC98" i="1"/>
  <c r="AF98" i="1"/>
  <c r="AE98" i="1"/>
  <c r="T110" i="1"/>
  <c r="O98" i="1"/>
  <c r="R98" i="1"/>
  <c r="H106" i="1"/>
  <c r="G106" i="1" s="1"/>
  <c r="B255" i="1"/>
  <c r="AG255" i="1" s="1"/>
  <c r="C254" i="1"/>
  <c r="Y98" i="1" l="1"/>
  <c r="U98" i="1"/>
  <c r="AD98" i="1"/>
  <c r="V98" i="1"/>
  <c r="I106" i="1"/>
  <c r="J106" i="1" s="1"/>
  <c r="P106" i="1" s="1"/>
  <c r="N117" i="1"/>
  <c r="B256" i="1"/>
  <c r="AG256" i="1" s="1"/>
  <c r="C255" i="1"/>
  <c r="AB98" i="1" l="1"/>
  <c r="K99" i="1"/>
  <c r="W106" i="1"/>
  <c r="E107" i="1"/>
  <c r="B257" i="1"/>
  <c r="AG257" i="1" s="1"/>
  <c r="C256" i="1"/>
  <c r="M99" i="1" l="1"/>
  <c r="H107" i="1"/>
  <c r="G107" i="1" s="1"/>
  <c r="B258" i="1"/>
  <c r="AG258" i="1" s="1"/>
  <c r="C257" i="1"/>
  <c r="T111" i="1" l="1"/>
  <c r="AE99" i="1"/>
  <c r="AF99" i="1"/>
  <c r="R99" i="1"/>
  <c r="O99" i="1"/>
  <c r="S99" i="1"/>
  <c r="I107" i="1"/>
  <c r="J107" i="1" s="1"/>
  <c r="P107" i="1" s="1"/>
  <c r="N118" i="1"/>
  <c r="B259" i="1"/>
  <c r="AG259" i="1" s="1"/>
  <c r="C258" i="1"/>
  <c r="V99" i="1" l="1"/>
  <c r="X99" i="1"/>
  <c r="AD99" i="1"/>
  <c r="AC99" i="1"/>
  <c r="U99" i="1"/>
  <c r="Y99" i="1"/>
  <c r="W107" i="1"/>
  <c r="E108" i="1"/>
  <c r="B260" i="1"/>
  <c r="AG260" i="1" s="1"/>
  <c r="C259" i="1"/>
  <c r="K100" i="1" l="1"/>
  <c r="AB99" i="1"/>
  <c r="M100" i="1"/>
  <c r="H108" i="1"/>
  <c r="G108" i="1" s="1"/>
  <c r="B261" i="1"/>
  <c r="AG261" i="1" s="1"/>
  <c r="C260" i="1"/>
  <c r="O100" i="1" l="1"/>
  <c r="S100" i="1"/>
  <c r="R100" i="1"/>
  <c r="T112" i="1"/>
  <c r="AE100" i="1"/>
  <c r="AF100" i="1"/>
  <c r="Y100" i="1"/>
  <c r="U100" i="1"/>
  <c r="V100" i="1"/>
  <c r="I108" i="1"/>
  <c r="J108" i="1" s="1"/>
  <c r="P108" i="1" s="1"/>
  <c r="N119" i="1"/>
  <c r="B262" i="1"/>
  <c r="AG262" i="1" s="1"/>
  <c r="C261" i="1"/>
  <c r="AC100" i="1" l="1"/>
  <c r="AD100" i="1"/>
  <c r="X100" i="1"/>
  <c r="K101" i="1"/>
  <c r="AB100" i="1"/>
  <c r="W108" i="1"/>
  <c r="E109" i="1"/>
  <c r="B263" i="1"/>
  <c r="AG263" i="1" s="1"/>
  <c r="C262" i="1"/>
  <c r="M101" i="1" l="1"/>
  <c r="H109" i="1"/>
  <c r="G109" i="1" s="1"/>
  <c r="B264" i="1"/>
  <c r="AG264" i="1" s="1"/>
  <c r="C263" i="1"/>
  <c r="AF101" i="1" l="1"/>
  <c r="AE101" i="1"/>
  <c r="T113" i="1"/>
  <c r="R101" i="1"/>
  <c r="S101" i="1"/>
  <c r="O101" i="1"/>
  <c r="I109" i="1"/>
  <c r="J109" i="1" s="1"/>
  <c r="P109" i="1" s="1"/>
  <c r="N120" i="1"/>
  <c r="B265" i="1"/>
  <c r="AG265" i="1" s="1"/>
  <c r="C264" i="1"/>
  <c r="Y101" i="1" l="1"/>
  <c r="V101" i="1"/>
  <c r="K102" i="1"/>
  <c r="AB101" i="1"/>
  <c r="X101" i="1"/>
  <c r="AD101" i="1"/>
  <c r="AC101" i="1"/>
  <c r="U101" i="1"/>
  <c r="W109" i="1"/>
  <c r="E110" i="1"/>
  <c r="B266" i="1"/>
  <c r="AG266" i="1" s="1"/>
  <c r="C265" i="1"/>
  <c r="M102" i="1" l="1"/>
  <c r="H110" i="1"/>
  <c r="G110" i="1" s="1"/>
  <c r="B267" i="1"/>
  <c r="AG267" i="1" s="1"/>
  <c r="C266" i="1"/>
  <c r="AF102" i="1" l="1"/>
  <c r="T114" i="1"/>
  <c r="AE102" i="1"/>
  <c r="S102" i="1"/>
  <c r="R102" i="1"/>
  <c r="O102" i="1"/>
  <c r="I110" i="1"/>
  <c r="J110" i="1" s="1"/>
  <c r="P110" i="1" s="1"/>
  <c r="N121" i="1"/>
  <c r="B268" i="1"/>
  <c r="AG268" i="1" s="1"/>
  <c r="C267" i="1"/>
  <c r="Y102" i="1" l="1"/>
  <c r="X102" i="1"/>
  <c r="AC102" i="1"/>
  <c r="AD102" i="1"/>
  <c r="U102" i="1"/>
  <c r="V102" i="1"/>
  <c r="W110" i="1"/>
  <c r="E111" i="1"/>
  <c r="B269" i="1"/>
  <c r="AG269" i="1" s="1"/>
  <c r="C268" i="1"/>
  <c r="AB102" i="1" l="1"/>
  <c r="K103" i="1"/>
  <c r="H111" i="1"/>
  <c r="G111" i="1" s="1"/>
  <c r="B270" i="1"/>
  <c r="AG270" i="1" s="1"/>
  <c r="C269" i="1"/>
  <c r="M103" i="1" l="1"/>
  <c r="N122" i="1"/>
  <c r="I111" i="1"/>
  <c r="J111" i="1" s="1"/>
  <c r="P111" i="1" s="1"/>
  <c r="B271" i="1"/>
  <c r="AG271" i="1" s="1"/>
  <c r="C270" i="1"/>
  <c r="T115" i="1" l="1"/>
  <c r="AE103" i="1"/>
  <c r="AF103" i="1"/>
  <c r="S103" i="1"/>
  <c r="R103" i="1"/>
  <c r="O103" i="1"/>
  <c r="W111" i="1"/>
  <c r="E112" i="1"/>
  <c r="B272" i="1"/>
  <c r="AG272" i="1" s="1"/>
  <c r="C271" i="1"/>
  <c r="X103" i="1" l="1"/>
  <c r="AC103" i="1"/>
  <c r="AD103" i="1"/>
  <c r="Y103" i="1"/>
  <c r="U103" i="1"/>
  <c r="V103" i="1"/>
  <c r="H112" i="1"/>
  <c r="G112" i="1" s="1"/>
  <c r="B273" i="1"/>
  <c r="AG273" i="1" s="1"/>
  <c r="C272" i="1"/>
  <c r="K104" i="1" l="1"/>
  <c r="AB103" i="1"/>
  <c r="I112" i="1"/>
  <c r="J112" i="1" s="1"/>
  <c r="P112" i="1" s="1"/>
  <c r="N123" i="1"/>
  <c r="B274" i="1"/>
  <c r="AG274" i="1" s="1"/>
  <c r="C273" i="1"/>
  <c r="M104" i="1" l="1"/>
  <c r="S104" i="1" s="1"/>
  <c r="W112" i="1"/>
  <c r="E113" i="1"/>
  <c r="B275" i="1"/>
  <c r="AG275" i="1" s="1"/>
  <c r="C274" i="1"/>
  <c r="AC104" i="1" l="1"/>
  <c r="X104" i="1"/>
  <c r="T116" i="1"/>
  <c r="AE104" i="1"/>
  <c r="AF104" i="1"/>
  <c r="R104" i="1"/>
  <c r="V104" i="1" s="1"/>
  <c r="O104" i="1"/>
  <c r="H113" i="1"/>
  <c r="G113" i="1" s="1"/>
  <c r="B276" i="1"/>
  <c r="AG276" i="1" s="1"/>
  <c r="C275" i="1"/>
  <c r="Y104" i="1" l="1"/>
  <c r="K105" i="1"/>
  <c r="AB104" i="1"/>
  <c r="U104" i="1"/>
  <c r="AD104" i="1"/>
  <c r="I113" i="1"/>
  <c r="J113" i="1" s="1"/>
  <c r="P113" i="1" s="1"/>
  <c r="N124" i="1"/>
  <c r="B277" i="1"/>
  <c r="AG277" i="1" s="1"/>
  <c r="C276" i="1"/>
  <c r="M105" i="1" l="1"/>
  <c r="W113" i="1"/>
  <c r="E114" i="1"/>
  <c r="B278" i="1"/>
  <c r="AG278" i="1" s="1"/>
  <c r="C277" i="1"/>
  <c r="AF105" i="1" l="1"/>
  <c r="T117" i="1"/>
  <c r="AE105" i="1"/>
  <c r="O105" i="1"/>
  <c r="S105" i="1"/>
  <c r="R105" i="1"/>
  <c r="H114" i="1"/>
  <c r="G114" i="1" s="1"/>
  <c r="B279" i="1"/>
  <c r="AG279" i="1" s="1"/>
  <c r="C278" i="1"/>
  <c r="X105" i="1" l="1"/>
  <c r="AC105" i="1"/>
  <c r="AD105" i="1"/>
  <c r="Y105" i="1"/>
  <c r="U105" i="1"/>
  <c r="V105" i="1"/>
  <c r="N125" i="1"/>
  <c r="I114" i="1"/>
  <c r="J114" i="1" s="1"/>
  <c r="P114" i="1" s="1"/>
  <c r="B280" i="1"/>
  <c r="AG280" i="1" s="1"/>
  <c r="C279" i="1"/>
  <c r="K106" i="1" l="1"/>
  <c r="AB105" i="1"/>
  <c r="W114" i="1"/>
  <c r="E115" i="1"/>
  <c r="B281" i="1"/>
  <c r="AG281" i="1" s="1"/>
  <c r="C280" i="1"/>
  <c r="M106" i="1" l="1"/>
  <c r="H115" i="1"/>
  <c r="G115" i="1" s="1"/>
  <c r="B282" i="1"/>
  <c r="AG282" i="1" s="1"/>
  <c r="C281" i="1"/>
  <c r="T118" i="1" l="1"/>
  <c r="AF106" i="1"/>
  <c r="AE106" i="1"/>
  <c r="R106" i="1"/>
  <c r="S106" i="1"/>
  <c r="O106" i="1"/>
  <c r="I115" i="1"/>
  <c r="J115" i="1" s="1"/>
  <c r="P115" i="1" s="1"/>
  <c r="N126" i="1"/>
  <c r="B283" i="1"/>
  <c r="AG283" i="1" s="1"/>
  <c r="C282" i="1"/>
  <c r="V106" i="1" l="1"/>
  <c r="U106" i="1"/>
  <c r="X106" i="1"/>
  <c r="AD106" i="1"/>
  <c r="AC106" i="1"/>
  <c r="Y106" i="1"/>
  <c r="W115" i="1"/>
  <c r="E116" i="1"/>
  <c r="B284" i="1"/>
  <c r="AG284" i="1" s="1"/>
  <c r="C283" i="1"/>
  <c r="AB106" i="1" l="1"/>
  <c r="K107" i="1"/>
  <c r="H116" i="1"/>
  <c r="G116" i="1" s="1"/>
  <c r="B285" i="1"/>
  <c r="AG285" i="1" s="1"/>
  <c r="C284" i="1"/>
  <c r="M107" i="1" l="1"/>
  <c r="I116" i="1"/>
  <c r="J116" i="1" s="1"/>
  <c r="P116" i="1" s="1"/>
  <c r="N127" i="1"/>
  <c r="B286" i="1"/>
  <c r="AG286" i="1" s="1"/>
  <c r="C285" i="1"/>
  <c r="AF107" i="1" l="1"/>
  <c r="T119" i="1"/>
  <c r="AE107" i="1"/>
  <c r="R107" i="1"/>
  <c r="S107" i="1"/>
  <c r="O107" i="1"/>
  <c r="W116" i="1"/>
  <c r="E117" i="1"/>
  <c r="B287" i="1"/>
  <c r="AG287" i="1" s="1"/>
  <c r="C286" i="1"/>
  <c r="V107" i="1" l="1"/>
  <c r="AC107" i="1"/>
  <c r="X107" i="1"/>
  <c r="AD107" i="1"/>
  <c r="K108" i="1"/>
  <c r="AB107" i="1"/>
  <c r="U107" i="1"/>
  <c r="Y107" i="1"/>
  <c r="H117" i="1"/>
  <c r="G117" i="1" s="1"/>
  <c r="B288" i="1"/>
  <c r="AG288" i="1" s="1"/>
  <c r="C287" i="1"/>
  <c r="M108" i="1" l="1"/>
  <c r="N128" i="1"/>
  <c r="I117" i="1"/>
  <c r="J117" i="1" s="1"/>
  <c r="P117" i="1" s="1"/>
  <c r="B289" i="1"/>
  <c r="AG289" i="1" s="1"/>
  <c r="C288" i="1"/>
  <c r="S108" i="1" l="1"/>
  <c r="R108" i="1"/>
  <c r="V108" i="1" s="1"/>
  <c r="O108" i="1"/>
  <c r="AD108" i="1"/>
  <c r="AC108" i="1"/>
  <c r="X108" i="1"/>
  <c r="AE108" i="1"/>
  <c r="T120" i="1"/>
  <c r="AF108" i="1"/>
  <c r="U108" i="1"/>
  <c r="W117" i="1"/>
  <c r="E118" i="1"/>
  <c r="B290" i="1"/>
  <c r="AG290" i="1" s="1"/>
  <c r="C289" i="1"/>
  <c r="Y108" i="1" l="1"/>
  <c r="AB108" i="1"/>
  <c r="K109" i="1"/>
  <c r="H118" i="1"/>
  <c r="G118" i="1" s="1"/>
  <c r="B291" i="1"/>
  <c r="AG291" i="1" s="1"/>
  <c r="C290" i="1"/>
  <c r="M109" i="1" l="1"/>
  <c r="R109" i="1" s="1"/>
  <c r="N129" i="1"/>
  <c r="I118" i="1"/>
  <c r="J118" i="1" s="1"/>
  <c r="P118" i="1" s="1"/>
  <c r="B292" i="1"/>
  <c r="AG292" i="1" s="1"/>
  <c r="C291" i="1"/>
  <c r="AF109" i="1" l="1"/>
  <c r="T121" i="1"/>
  <c r="AE109" i="1"/>
  <c r="O109" i="1"/>
  <c r="S109" i="1"/>
  <c r="V109" i="1" s="1"/>
  <c r="W118" i="1"/>
  <c r="E119" i="1"/>
  <c r="B293" i="1"/>
  <c r="AG293" i="1" s="1"/>
  <c r="C292" i="1"/>
  <c r="AB109" i="1" l="1"/>
  <c r="K110" i="1"/>
  <c r="AC109" i="1"/>
  <c r="X109" i="1"/>
  <c r="AD109" i="1"/>
  <c r="U109" i="1"/>
  <c r="Y109" i="1"/>
  <c r="H119" i="1"/>
  <c r="G119" i="1" s="1"/>
  <c r="B294" i="1"/>
  <c r="AG294" i="1" s="1"/>
  <c r="C293" i="1"/>
  <c r="M110" i="1" l="1"/>
  <c r="R110" i="1"/>
  <c r="N130" i="1"/>
  <c r="I119" i="1"/>
  <c r="J119" i="1" s="1"/>
  <c r="P119" i="1" s="1"/>
  <c r="B295" i="1"/>
  <c r="AG295" i="1" s="1"/>
  <c r="C294" i="1"/>
  <c r="O110" i="1" l="1"/>
  <c r="S110" i="1"/>
  <c r="T122" i="1"/>
  <c r="AF110" i="1"/>
  <c r="AE110" i="1"/>
  <c r="W119" i="1"/>
  <c r="E120" i="1"/>
  <c r="B296" i="1"/>
  <c r="AG296" i="1" s="1"/>
  <c r="C295" i="1"/>
  <c r="U110" i="1" l="1"/>
  <c r="AC110" i="1"/>
  <c r="AD110" i="1"/>
  <c r="X110" i="1"/>
  <c r="V110" i="1"/>
  <c r="Y110" i="1"/>
  <c r="H120" i="1"/>
  <c r="G120" i="1" s="1"/>
  <c r="B297" i="1"/>
  <c r="AG297" i="1" s="1"/>
  <c r="C296" i="1"/>
  <c r="AB110" i="1" l="1"/>
  <c r="K111" i="1"/>
  <c r="N131" i="1"/>
  <c r="I120" i="1"/>
  <c r="J120" i="1" s="1"/>
  <c r="P120" i="1" s="1"/>
  <c r="B298" i="1"/>
  <c r="AG298" i="1" s="1"/>
  <c r="C297" i="1"/>
  <c r="M111" i="1" l="1"/>
  <c r="W120" i="1"/>
  <c r="E121" i="1"/>
  <c r="B299" i="1"/>
  <c r="AG299" i="1" s="1"/>
  <c r="C298" i="1"/>
  <c r="AE111" i="1" l="1"/>
  <c r="AF111" i="1"/>
  <c r="T123" i="1"/>
  <c r="O111" i="1"/>
  <c r="R111" i="1"/>
  <c r="S111" i="1"/>
  <c r="H121" i="1"/>
  <c r="G121" i="1" s="1"/>
  <c r="B300" i="1"/>
  <c r="AG300" i="1" s="1"/>
  <c r="C299" i="1"/>
  <c r="V111" i="1" l="1"/>
  <c r="AB111" i="1"/>
  <c r="K112" i="1"/>
  <c r="AC111" i="1"/>
  <c r="X111" i="1"/>
  <c r="AD111" i="1"/>
  <c r="Y111" i="1"/>
  <c r="U111" i="1"/>
  <c r="N132" i="1"/>
  <c r="I121" i="1"/>
  <c r="J121" i="1" s="1"/>
  <c r="P121" i="1" s="1"/>
  <c r="B301" i="1"/>
  <c r="AG301" i="1" s="1"/>
  <c r="C300" i="1"/>
  <c r="M112" i="1" l="1"/>
  <c r="W121" i="1"/>
  <c r="E122" i="1"/>
  <c r="B302" i="1"/>
  <c r="AG302" i="1" s="1"/>
  <c r="C301" i="1"/>
  <c r="T124" i="1" l="1"/>
  <c r="AE112" i="1"/>
  <c r="AF112" i="1"/>
  <c r="S112" i="1"/>
  <c r="O112" i="1"/>
  <c r="R112" i="1"/>
  <c r="H122" i="1"/>
  <c r="G122" i="1" s="1"/>
  <c r="B303" i="1"/>
  <c r="AG303" i="1" s="1"/>
  <c r="C302" i="1"/>
  <c r="V112" i="1" l="1"/>
  <c r="K113" i="1"/>
  <c r="AB112" i="1"/>
  <c r="AC112" i="1"/>
  <c r="X112" i="1"/>
  <c r="AD112" i="1"/>
  <c r="Y112" i="1"/>
  <c r="U112" i="1"/>
  <c r="N133" i="1"/>
  <c r="I122" i="1"/>
  <c r="J122" i="1" s="1"/>
  <c r="P122" i="1" s="1"/>
  <c r="B304" i="1"/>
  <c r="AG304" i="1" s="1"/>
  <c r="C303" i="1"/>
  <c r="M113" i="1" l="1"/>
  <c r="S113" i="1"/>
  <c r="O113" i="1"/>
  <c r="AC113" i="1"/>
  <c r="W122" i="1"/>
  <c r="E123" i="1"/>
  <c r="B305" i="1"/>
  <c r="AG305" i="1" s="1"/>
  <c r="C304" i="1"/>
  <c r="T125" i="1" l="1"/>
  <c r="R113" i="1"/>
  <c r="AE113" i="1"/>
  <c r="AF113" i="1"/>
  <c r="X113" i="1"/>
  <c r="AD113" i="1"/>
  <c r="H123" i="1"/>
  <c r="G123" i="1" s="1"/>
  <c r="B306" i="1"/>
  <c r="AG306" i="1" s="1"/>
  <c r="C305" i="1"/>
  <c r="Y113" i="1" l="1"/>
  <c r="V113" i="1"/>
  <c r="U113" i="1"/>
  <c r="N134" i="1"/>
  <c r="I123" i="1"/>
  <c r="J123" i="1" s="1"/>
  <c r="P123" i="1" s="1"/>
  <c r="B307" i="1"/>
  <c r="AG307" i="1" s="1"/>
  <c r="C306" i="1"/>
  <c r="AB113" i="1" l="1"/>
  <c r="K114" i="1"/>
  <c r="W123" i="1"/>
  <c r="E124" i="1"/>
  <c r="B308" i="1"/>
  <c r="AG308" i="1" s="1"/>
  <c r="C307" i="1"/>
  <c r="M114" i="1" l="1"/>
  <c r="H124" i="1"/>
  <c r="G124" i="1" s="1"/>
  <c r="B309" i="1"/>
  <c r="AG309" i="1" s="1"/>
  <c r="C308" i="1"/>
  <c r="AE114" i="1" l="1"/>
  <c r="T126" i="1"/>
  <c r="AF114" i="1"/>
  <c r="R114" i="1"/>
  <c r="S114" i="1"/>
  <c r="O114" i="1"/>
  <c r="I124" i="1"/>
  <c r="J124" i="1" s="1"/>
  <c r="P124" i="1" s="1"/>
  <c r="N135" i="1"/>
  <c r="B310" i="1"/>
  <c r="AG310" i="1" s="1"/>
  <c r="C309" i="1"/>
  <c r="V114" i="1" l="1"/>
  <c r="AB114" i="1" s="1"/>
  <c r="Y114" i="1"/>
  <c r="K115" i="1"/>
  <c r="X114" i="1"/>
  <c r="AD114" i="1"/>
  <c r="AC114" i="1"/>
  <c r="U114" i="1"/>
  <c r="W124" i="1"/>
  <c r="E125" i="1"/>
  <c r="B311" i="1"/>
  <c r="AG311" i="1" s="1"/>
  <c r="C310" i="1"/>
  <c r="M115" i="1" l="1"/>
  <c r="H125" i="1"/>
  <c r="G125" i="1" s="1"/>
  <c r="B312" i="1"/>
  <c r="AG312" i="1" s="1"/>
  <c r="C311" i="1"/>
  <c r="AF115" i="1" l="1"/>
  <c r="AE115" i="1"/>
  <c r="T127" i="1"/>
  <c r="R115" i="1"/>
  <c r="O115" i="1"/>
  <c r="S115" i="1"/>
  <c r="I125" i="1"/>
  <c r="J125" i="1" s="1"/>
  <c r="P125" i="1" s="1"/>
  <c r="N136" i="1"/>
  <c r="B313" i="1"/>
  <c r="AG313" i="1" s="1"/>
  <c r="C312" i="1"/>
  <c r="V115" i="1" l="1"/>
  <c r="Y115" i="1"/>
  <c r="AB115" i="1"/>
  <c r="K116" i="1"/>
  <c r="X115" i="1"/>
  <c r="AC115" i="1"/>
  <c r="AD115" i="1"/>
  <c r="U115" i="1"/>
  <c r="AE116" i="1"/>
  <c r="AF116" i="1"/>
  <c r="W125" i="1"/>
  <c r="E126" i="1"/>
  <c r="B314" i="1"/>
  <c r="AG314" i="1" s="1"/>
  <c r="C313" i="1"/>
  <c r="M116" i="1" l="1"/>
  <c r="S116" i="1"/>
  <c r="X116" i="1" s="1"/>
  <c r="AD116" i="1"/>
  <c r="AC116" i="1"/>
  <c r="H126" i="1"/>
  <c r="G126" i="1" s="1"/>
  <c r="B315" i="1"/>
  <c r="AG315" i="1" s="1"/>
  <c r="C314" i="1"/>
  <c r="O116" i="1" l="1"/>
  <c r="R116" i="1"/>
  <c r="T128" i="1"/>
  <c r="I126" i="1"/>
  <c r="J126" i="1" s="1"/>
  <c r="P126" i="1" s="1"/>
  <c r="N137" i="1"/>
  <c r="B316" i="1"/>
  <c r="AG316" i="1" s="1"/>
  <c r="C315" i="1"/>
  <c r="U116" i="1" l="1"/>
  <c r="V116" i="1"/>
  <c r="Y116" i="1"/>
  <c r="W126" i="1"/>
  <c r="E127" i="1"/>
  <c r="B317" i="1"/>
  <c r="AG317" i="1" s="1"/>
  <c r="C316" i="1"/>
  <c r="K117" i="1" l="1"/>
  <c r="M117" i="1" s="1"/>
  <c r="AB116" i="1"/>
  <c r="AF117" i="1"/>
  <c r="AE117" i="1"/>
  <c r="T129" i="1"/>
  <c r="O117" i="1"/>
  <c r="S117" i="1"/>
  <c r="R117" i="1"/>
  <c r="H127" i="1"/>
  <c r="G127" i="1" s="1"/>
  <c r="B318" i="1"/>
  <c r="AG318" i="1" s="1"/>
  <c r="C317" i="1"/>
  <c r="Y117" i="1" l="1"/>
  <c r="X117" i="1"/>
  <c r="AC117" i="1"/>
  <c r="AD117" i="1"/>
  <c r="U117" i="1"/>
  <c r="V117" i="1"/>
  <c r="N138" i="1"/>
  <c r="I127" i="1"/>
  <c r="J127" i="1" s="1"/>
  <c r="P127" i="1" s="1"/>
  <c r="B319" i="1"/>
  <c r="AG319" i="1" s="1"/>
  <c r="C318" i="1"/>
  <c r="AB117" i="1" l="1"/>
  <c r="K118" i="1"/>
  <c r="W127" i="1"/>
  <c r="E128" i="1"/>
  <c r="B320" i="1"/>
  <c r="AG320" i="1" s="1"/>
  <c r="C319" i="1"/>
  <c r="M118" i="1" l="1"/>
  <c r="H128" i="1"/>
  <c r="G128" i="1" s="1"/>
  <c r="B321" i="1"/>
  <c r="AG321" i="1" s="1"/>
  <c r="C320" i="1"/>
  <c r="AF118" i="1" l="1"/>
  <c r="AE118" i="1"/>
  <c r="T130" i="1"/>
  <c r="O118" i="1"/>
  <c r="R118" i="1"/>
  <c r="S118" i="1"/>
  <c r="I128" i="1"/>
  <c r="J128" i="1" s="1"/>
  <c r="P128" i="1" s="1"/>
  <c r="N139" i="1"/>
  <c r="B322" i="1"/>
  <c r="AG322" i="1" s="1"/>
  <c r="C321" i="1"/>
  <c r="X118" i="1" l="1"/>
  <c r="AC118" i="1"/>
  <c r="AD118" i="1"/>
  <c r="Y118" i="1"/>
  <c r="U118" i="1"/>
  <c r="V118" i="1"/>
  <c r="W128" i="1"/>
  <c r="E129" i="1"/>
  <c r="B323" i="1"/>
  <c r="AG323" i="1" s="1"/>
  <c r="C322" i="1"/>
  <c r="AB118" i="1" l="1"/>
  <c r="K119" i="1"/>
  <c r="H129" i="1"/>
  <c r="G129" i="1" s="1"/>
  <c r="B324" i="1"/>
  <c r="AG324" i="1" s="1"/>
  <c r="C323" i="1"/>
  <c r="M119" i="1" l="1"/>
  <c r="I129" i="1"/>
  <c r="J129" i="1" s="1"/>
  <c r="P129" i="1" s="1"/>
  <c r="N140" i="1"/>
  <c r="B325" i="1"/>
  <c r="AG325" i="1" s="1"/>
  <c r="C324" i="1"/>
  <c r="AF119" i="1" l="1"/>
  <c r="AE119" i="1"/>
  <c r="T131" i="1"/>
  <c r="O119" i="1"/>
  <c r="R119" i="1"/>
  <c r="S119" i="1"/>
  <c r="W129" i="1"/>
  <c r="E130" i="1"/>
  <c r="B326" i="1"/>
  <c r="AG326" i="1" s="1"/>
  <c r="C325" i="1"/>
  <c r="V119" i="1" l="1"/>
  <c r="K120" i="1" s="1"/>
  <c r="AB119" i="1"/>
  <c r="X119" i="1"/>
  <c r="AC119" i="1"/>
  <c r="AD119" i="1"/>
  <c r="Y119" i="1"/>
  <c r="U119" i="1"/>
  <c r="H130" i="1"/>
  <c r="G130" i="1" s="1"/>
  <c r="B327" i="1"/>
  <c r="AG327" i="1" s="1"/>
  <c r="C326" i="1"/>
  <c r="M120" i="1" l="1"/>
  <c r="N141" i="1"/>
  <c r="I130" i="1"/>
  <c r="J130" i="1" s="1"/>
  <c r="P130" i="1" s="1"/>
  <c r="B328" i="1"/>
  <c r="AG328" i="1" s="1"/>
  <c r="C327" i="1"/>
  <c r="AF120" i="1" l="1"/>
  <c r="AE120" i="1"/>
  <c r="T132" i="1"/>
  <c r="O120" i="1"/>
  <c r="R120" i="1"/>
  <c r="S120" i="1"/>
  <c r="W130" i="1"/>
  <c r="E131" i="1"/>
  <c r="B329" i="1"/>
  <c r="AG329" i="1" s="1"/>
  <c r="C328" i="1"/>
  <c r="V120" i="1" l="1"/>
  <c r="X120" i="1"/>
  <c r="AD120" i="1"/>
  <c r="AC120" i="1"/>
  <c r="Y120" i="1"/>
  <c r="U120" i="1"/>
  <c r="H131" i="1"/>
  <c r="G131" i="1" s="1"/>
  <c r="B330" i="1"/>
  <c r="AG330" i="1" s="1"/>
  <c r="C329" i="1"/>
  <c r="K121" i="1" l="1"/>
  <c r="M121" i="1" s="1"/>
  <c r="AB120" i="1"/>
  <c r="N142" i="1"/>
  <c r="I131" i="1"/>
  <c r="J131" i="1" s="1"/>
  <c r="P131" i="1" s="1"/>
  <c r="B331" i="1"/>
  <c r="AG331" i="1" s="1"/>
  <c r="C330" i="1"/>
  <c r="AF121" i="1" l="1"/>
  <c r="AE121" i="1"/>
  <c r="T133" i="1"/>
  <c r="O121" i="1"/>
  <c r="R121" i="1"/>
  <c r="S121" i="1"/>
  <c r="W131" i="1"/>
  <c r="E132" i="1"/>
  <c r="B332" i="1"/>
  <c r="AG332" i="1" s="1"/>
  <c r="C331" i="1"/>
  <c r="Y121" i="1" l="1"/>
  <c r="V121" i="1"/>
  <c r="U121" i="1"/>
  <c r="X121" i="1"/>
  <c r="AD121" i="1"/>
  <c r="AC121" i="1"/>
  <c r="H132" i="1"/>
  <c r="G132" i="1" s="1"/>
  <c r="B333" i="1"/>
  <c r="AG333" i="1" s="1"/>
  <c r="C332" i="1"/>
  <c r="K122" i="1" l="1"/>
  <c r="AB121" i="1"/>
  <c r="N143" i="1"/>
  <c r="I132" i="1"/>
  <c r="J132" i="1" s="1"/>
  <c r="P132" i="1" s="1"/>
  <c r="B334" i="1"/>
  <c r="AG334" i="1" s="1"/>
  <c r="C333" i="1"/>
  <c r="M122" i="1" l="1"/>
  <c r="W132" i="1"/>
  <c r="E133" i="1"/>
  <c r="B335" i="1"/>
  <c r="AG335" i="1" s="1"/>
  <c r="C334" i="1"/>
  <c r="AF122" i="1" l="1"/>
  <c r="AE122" i="1"/>
  <c r="T134" i="1"/>
  <c r="O122" i="1"/>
  <c r="R122" i="1"/>
  <c r="S122" i="1"/>
  <c r="H133" i="1"/>
  <c r="G133" i="1" s="1"/>
  <c r="B336" i="1"/>
  <c r="AG336" i="1" s="1"/>
  <c r="C335" i="1"/>
  <c r="AC122" i="1" l="1"/>
  <c r="X122" i="1"/>
  <c r="AD122" i="1"/>
  <c r="Y122" i="1"/>
  <c r="U122" i="1"/>
  <c r="V122" i="1"/>
  <c r="N144" i="1"/>
  <c r="I133" i="1"/>
  <c r="J133" i="1" s="1"/>
  <c r="P133" i="1" s="1"/>
  <c r="B337" i="1"/>
  <c r="AG337" i="1" s="1"/>
  <c r="C336" i="1"/>
  <c r="K123" i="1" l="1"/>
  <c r="AB122" i="1"/>
  <c r="W133" i="1"/>
  <c r="E134" i="1"/>
  <c r="B338" i="1"/>
  <c r="AG338" i="1" s="1"/>
  <c r="C337" i="1"/>
  <c r="M123" i="1" l="1"/>
  <c r="H134" i="1"/>
  <c r="G134" i="1" s="1"/>
  <c r="B339" i="1"/>
  <c r="AG339" i="1" s="1"/>
  <c r="C338" i="1"/>
  <c r="AE123" i="1" l="1"/>
  <c r="AF123" i="1"/>
  <c r="T135" i="1"/>
  <c r="O123" i="1"/>
  <c r="S123" i="1"/>
  <c r="R123" i="1"/>
  <c r="I134" i="1"/>
  <c r="J134" i="1" s="1"/>
  <c r="P134" i="1" s="1"/>
  <c r="N145" i="1"/>
  <c r="B340" i="1"/>
  <c r="AG340" i="1" s="1"/>
  <c r="C339" i="1"/>
  <c r="V123" i="1" l="1"/>
  <c r="K124" i="1"/>
  <c r="AB123" i="1"/>
  <c r="X123" i="1"/>
  <c r="AD123" i="1"/>
  <c r="AC123" i="1"/>
  <c r="Y123" i="1"/>
  <c r="U123" i="1"/>
  <c r="W134" i="1"/>
  <c r="E135" i="1"/>
  <c r="B341" i="1"/>
  <c r="AG341" i="1" s="1"/>
  <c r="C340" i="1"/>
  <c r="M124" i="1" l="1"/>
  <c r="H135" i="1"/>
  <c r="G135" i="1" s="1"/>
  <c r="B342" i="1"/>
  <c r="AG342" i="1" s="1"/>
  <c r="C341" i="1"/>
  <c r="AF124" i="1" l="1"/>
  <c r="AE124" i="1"/>
  <c r="T136" i="1"/>
  <c r="S124" i="1"/>
  <c r="O124" i="1"/>
  <c r="R124" i="1"/>
  <c r="I135" i="1"/>
  <c r="J135" i="1" s="1"/>
  <c r="P135" i="1" s="1"/>
  <c r="N146" i="1"/>
  <c r="B343" i="1"/>
  <c r="AG343" i="1" s="1"/>
  <c r="C342" i="1"/>
  <c r="V124" i="1" l="1"/>
  <c r="AB124" i="1" s="1"/>
  <c r="AC124" i="1"/>
  <c r="X124" i="1"/>
  <c r="K125" i="1"/>
  <c r="AD124" i="1"/>
  <c r="U124" i="1"/>
  <c r="Y124" i="1"/>
  <c r="W135" i="1"/>
  <c r="E136" i="1"/>
  <c r="B344" i="1"/>
  <c r="AG344" i="1" s="1"/>
  <c r="C343" i="1"/>
  <c r="M125" i="1" l="1"/>
  <c r="H136" i="1"/>
  <c r="G136" i="1" s="1"/>
  <c r="B345" i="1"/>
  <c r="AG345" i="1" s="1"/>
  <c r="C344" i="1"/>
  <c r="AF125" i="1" l="1"/>
  <c r="AE125" i="1"/>
  <c r="T137" i="1"/>
  <c r="S125" i="1"/>
  <c r="R125" i="1"/>
  <c r="O125" i="1"/>
  <c r="I136" i="1"/>
  <c r="J136" i="1" s="1"/>
  <c r="P136" i="1" s="1"/>
  <c r="N147" i="1"/>
  <c r="B346" i="1"/>
  <c r="AG346" i="1" s="1"/>
  <c r="C345" i="1"/>
  <c r="Y125" i="1" l="1"/>
  <c r="AC125" i="1"/>
  <c r="AD125" i="1"/>
  <c r="X125" i="1"/>
  <c r="V125" i="1"/>
  <c r="U125" i="1"/>
  <c r="W136" i="1"/>
  <c r="E137" i="1"/>
  <c r="B347" i="1"/>
  <c r="AG347" i="1" s="1"/>
  <c r="C346" i="1"/>
  <c r="K126" i="1" l="1"/>
  <c r="AB125" i="1"/>
  <c r="H137" i="1"/>
  <c r="G137" i="1" s="1"/>
  <c r="B348" i="1"/>
  <c r="AG348" i="1" s="1"/>
  <c r="C347" i="1"/>
  <c r="M126" i="1" l="1"/>
  <c r="O126" i="1" s="1"/>
  <c r="N148" i="1"/>
  <c r="I137" i="1"/>
  <c r="J137" i="1" s="1"/>
  <c r="P137" i="1" s="1"/>
  <c r="B349" i="1"/>
  <c r="AG349" i="1" s="1"/>
  <c r="C348" i="1"/>
  <c r="AE126" i="1" l="1"/>
  <c r="AF126" i="1"/>
  <c r="T138" i="1"/>
  <c r="R126" i="1"/>
  <c r="S126" i="1"/>
  <c r="W137" i="1"/>
  <c r="E138" i="1"/>
  <c r="B350" i="1"/>
  <c r="AG350" i="1" s="1"/>
  <c r="C349" i="1"/>
  <c r="V126" i="1" l="1"/>
  <c r="Y126" i="1"/>
  <c r="U126" i="1"/>
  <c r="K127" i="1"/>
  <c r="AB126" i="1"/>
  <c r="X126" i="1"/>
  <c r="AC126" i="1"/>
  <c r="AD126" i="1"/>
  <c r="H138" i="1"/>
  <c r="G138" i="1" s="1"/>
  <c r="B351" i="1"/>
  <c r="AG351" i="1" s="1"/>
  <c r="C350" i="1"/>
  <c r="M127" i="1" l="1"/>
  <c r="N149" i="1"/>
  <c r="I138" i="1"/>
  <c r="J138" i="1" s="1"/>
  <c r="P138" i="1" s="1"/>
  <c r="B352" i="1"/>
  <c r="AG352" i="1" s="1"/>
  <c r="C351" i="1"/>
  <c r="AF127" i="1" l="1"/>
  <c r="AE127" i="1"/>
  <c r="T139" i="1"/>
  <c r="S127" i="1"/>
  <c r="R127" i="1"/>
  <c r="V127" i="1" s="1"/>
  <c r="O127" i="1"/>
  <c r="W138" i="1"/>
  <c r="E139" i="1"/>
  <c r="B353" i="1"/>
  <c r="AG353" i="1" s="1"/>
  <c r="C352" i="1"/>
  <c r="AD127" i="1" l="1"/>
  <c r="AC127" i="1"/>
  <c r="X127" i="1"/>
  <c r="K128" i="1"/>
  <c r="AB127" i="1"/>
  <c r="Y127" i="1"/>
  <c r="U127" i="1"/>
  <c r="H139" i="1"/>
  <c r="G139" i="1" s="1"/>
  <c r="B354" i="1"/>
  <c r="AG354" i="1" s="1"/>
  <c r="C353" i="1"/>
  <c r="M128" i="1" l="1"/>
  <c r="I139" i="1"/>
  <c r="J139" i="1" s="1"/>
  <c r="P139" i="1" s="1"/>
  <c r="N150" i="1"/>
  <c r="B355" i="1"/>
  <c r="AG355" i="1" s="1"/>
  <c r="C354" i="1"/>
  <c r="AE128" i="1" l="1"/>
  <c r="AF128" i="1"/>
  <c r="T140" i="1"/>
  <c r="R128" i="1"/>
  <c r="S128" i="1"/>
  <c r="V128" i="1" s="1"/>
  <c r="O128" i="1"/>
  <c r="W139" i="1"/>
  <c r="E140" i="1"/>
  <c r="B356" i="1"/>
  <c r="AG356" i="1" s="1"/>
  <c r="C355" i="1"/>
  <c r="Y128" i="1" l="1"/>
  <c r="AB128" i="1"/>
  <c r="K129" i="1"/>
  <c r="X128" i="1"/>
  <c r="AC128" i="1"/>
  <c r="AD128" i="1"/>
  <c r="U128" i="1"/>
  <c r="H140" i="1"/>
  <c r="G140" i="1" s="1"/>
  <c r="B357" i="1"/>
  <c r="AG357" i="1" s="1"/>
  <c r="C356" i="1"/>
  <c r="M129" i="1" l="1"/>
  <c r="I140" i="1"/>
  <c r="J140" i="1" s="1"/>
  <c r="P140" i="1" s="1"/>
  <c r="N151" i="1"/>
  <c r="B358" i="1"/>
  <c r="AG358" i="1" s="1"/>
  <c r="C357" i="1"/>
  <c r="AF129" i="1" l="1"/>
  <c r="AE129" i="1"/>
  <c r="T141" i="1"/>
  <c r="R129" i="1"/>
  <c r="S129" i="1"/>
  <c r="O129" i="1"/>
  <c r="W140" i="1"/>
  <c r="E141" i="1"/>
  <c r="B359" i="1"/>
  <c r="AG359" i="1" s="1"/>
  <c r="C358" i="1"/>
  <c r="V129" i="1" l="1"/>
  <c r="Y129" i="1"/>
  <c r="AB129" i="1"/>
  <c r="K130" i="1"/>
  <c r="X129" i="1"/>
  <c r="AC129" i="1"/>
  <c r="AD129" i="1"/>
  <c r="U129" i="1"/>
  <c r="H141" i="1"/>
  <c r="G141" i="1" s="1"/>
  <c r="B360" i="1"/>
  <c r="AG360" i="1" s="1"/>
  <c r="C359" i="1"/>
  <c r="M130" i="1" l="1"/>
  <c r="N152" i="1"/>
  <c r="I141" i="1"/>
  <c r="J141" i="1" s="1"/>
  <c r="P141" i="1" s="1"/>
  <c r="B361" i="1"/>
  <c r="AG361" i="1" s="1"/>
  <c r="C360" i="1"/>
  <c r="R130" i="1" l="1"/>
  <c r="O130" i="1"/>
  <c r="AF130" i="1"/>
  <c r="AE130" i="1"/>
  <c r="T142" i="1"/>
  <c r="S130" i="1"/>
  <c r="W141" i="1"/>
  <c r="E142" i="1"/>
  <c r="B362" i="1"/>
  <c r="AG362" i="1" s="1"/>
  <c r="C361" i="1"/>
  <c r="U130" i="1" l="1"/>
  <c r="V130" i="1"/>
  <c r="K131" i="1"/>
  <c r="AB130" i="1"/>
  <c r="Y130" i="1"/>
  <c r="AC130" i="1"/>
  <c r="AD130" i="1"/>
  <c r="X130" i="1"/>
  <c r="H142" i="1"/>
  <c r="G142" i="1" s="1"/>
  <c r="B363" i="1"/>
  <c r="AG363" i="1" s="1"/>
  <c r="C362" i="1"/>
  <c r="M131" i="1" l="1"/>
  <c r="N153" i="1"/>
  <c r="I142" i="1"/>
  <c r="J142" i="1" s="1"/>
  <c r="P142" i="1" s="1"/>
  <c r="B364" i="1"/>
  <c r="AG364" i="1" s="1"/>
  <c r="C363" i="1"/>
  <c r="AE131" i="1" l="1"/>
  <c r="AF131" i="1"/>
  <c r="T143" i="1"/>
  <c r="R131" i="1"/>
  <c r="S131" i="1"/>
  <c r="O131" i="1"/>
  <c r="W142" i="1"/>
  <c r="E143" i="1"/>
  <c r="B365" i="1"/>
  <c r="AG365" i="1" s="1"/>
  <c r="C364" i="1"/>
  <c r="V131" i="1" l="1"/>
  <c r="Y131" i="1"/>
  <c r="X131" i="1"/>
  <c r="AD131" i="1"/>
  <c r="AC131" i="1"/>
  <c r="U131" i="1"/>
  <c r="H143" i="1"/>
  <c r="G143" i="1" s="1"/>
  <c r="B366" i="1"/>
  <c r="AG366" i="1" s="1"/>
  <c r="C365" i="1"/>
  <c r="K132" i="1" l="1"/>
  <c r="M132" i="1" s="1"/>
  <c r="AB131" i="1"/>
  <c r="N154" i="1"/>
  <c r="I143" i="1"/>
  <c r="J143" i="1" s="1"/>
  <c r="P143" i="1" s="1"/>
  <c r="B367" i="1"/>
  <c r="AG367" i="1" s="1"/>
  <c r="C366" i="1"/>
  <c r="AE132" i="1" l="1"/>
  <c r="AF132" i="1"/>
  <c r="T144" i="1"/>
  <c r="R132" i="1"/>
  <c r="S132" i="1"/>
  <c r="O132" i="1"/>
  <c r="W143" i="1"/>
  <c r="E144" i="1"/>
  <c r="B368" i="1"/>
  <c r="AG368" i="1" s="1"/>
  <c r="C367" i="1"/>
  <c r="V132" i="1" l="1"/>
  <c r="Y132" i="1"/>
  <c r="AB132" i="1"/>
  <c r="K133" i="1"/>
  <c r="X132" i="1"/>
  <c r="AD132" i="1"/>
  <c r="AC132" i="1"/>
  <c r="U132" i="1"/>
  <c r="H144" i="1"/>
  <c r="G144" i="1" s="1"/>
  <c r="B369" i="1"/>
  <c r="AG369" i="1" s="1"/>
  <c r="C368" i="1"/>
  <c r="M133" i="1" l="1"/>
  <c r="N155" i="1"/>
  <c r="I144" i="1"/>
  <c r="J144" i="1" s="1"/>
  <c r="P144" i="1" s="1"/>
  <c r="B370" i="1"/>
  <c r="AG370" i="1" s="1"/>
  <c r="C369" i="1"/>
  <c r="AE133" i="1" l="1"/>
  <c r="AF133" i="1"/>
  <c r="T145" i="1"/>
  <c r="R133" i="1"/>
  <c r="O133" i="1"/>
  <c r="S133" i="1"/>
  <c r="W144" i="1"/>
  <c r="E145" i="1"/>
  <c r="B371" i="1"/>
  <c r="AG371" i="1" s="1"/>
  <c r="C370" i="1"/>
  <c r="V133" i="1" l="1"/>
  <c r="U133" i="1"/>
  <c r="X133" i="1"/>
  <c r="AC133" i="1"/>
  <c r="AD133" i="1"/>
  <c r="Y133" i="1"/>
  <c r="H145" i="1"/>
  <c r="G145" i="1" s="1"/>
  <c r="B372" i="1"/>
  <c r="AG372" i="1" s="1"/>
  <c r="C371" i="1"/>
  <c r="AB133" i="1" l="1"/>
  <c r="K134" i="1"/>
  <c r="M134" i="1"/>
  <c r="I145" i="1"/>
  <c r="J145" i="1" s="1"/>
  <c r="P145" i="1" s="1"/>
  <c r="N156" i="1"/>
  <c r="B373" i="1"/>
  <c r="AG373" i="1" s="1"/>
  <c r="C372" i="1"/>
  <c r="AF134" i="1" l="1"/>
  <c r="AE134" i="1"/>
  <c r="T146" i="1"/>
  <c r="S134" i="1"/>
  <c r="O134" i="1"/>
  <c r="R134" i="1"/>
  <c r="W145" i="1"/>
  <c r="E146" i="1"/>
  <c r="B374" i="1"/>
  <c r="AG374" i="1" s="1"/>
  <c r="C373" i="1"/>
  <c r="AC134" i="1" l="1"/>
  <c r="AD134" i="1"/>
  <c r="X134" i="1"/>
  <c r="Y134" i="1"/>
  <c r="U134" i="1"/>
  <c r="V134" i="1"/>
  <c r="H146" i="1"/>
  <c r="G146" i="1" s="1"/>
  <c r="B375" i="1"/>
  <c r="AG375" i="1" s="1"/>
  <c r="C374" i="1"/>
  <c r="AB134" i="1" l="1"/>
  <c r="K135" i="1"/>
  <c r="N157" i="1"/>
  <c r="I146" i="1"/>
  <c r="J146" i="1" s="1"/>
  <c r="P146" i="1" s="1"/>
  <c r="B376" i="1"/>
  <c r="AG376" i="1" s="1"/>
  <c r="C375" i="1"/>
  <c r="M135" i="1" l="1"/>
  <c r="O135" i="1" s="1"/>
  <c r="W146" i="1"/>
  <c r="E147" i="1"/>
  <c r="B377" i="1"/>
  <c r="AG377" i="1" s="1"/>
  <c r="C376" i="1"/>
  <c r="AF135" i="1" l="1"/>
  <c r="AE135" i="1"/>
  <c r="T147" i="1"/>
  <c r="R135" i="1"/>
  <c r="S135" i="1"/>
  <c r="V135" i="1" s="1"/>
  <c r="H147" i="1"/>
  <c r="G147" i="1" s="1"/>
  <c r="B378" i="1"/>
  <c r="AG378" i="1" s="1"/>
  <c r="C377" i="1"/>
  <c r="Y135" i="1" l="1"/>
  <c r="U135" i="1"/>
  <c r="K136" i="1"/>
  <c r="AB135" i="1"/>
  <c r="X135" i="1"/>
  <c r="AD135" i="1"/>
  <c r="AC135" i="1"/>
  <c r="N158" i="1"/>
  <c r="I147" i="1"/>
  <c r="J147" i="1" s="1"/>
  <c r="P147" i="1" s="1"/>
  <c r="B379" i="1"/>
  <c r="AG379" i="1" s="1"/>
  <c r="C378" i="1"/>
  <c r="M136" i="1" l="1"/>
  <c r="W147" i="1"/>
  <c r="E148" i="1"/>
  <c r="B380" i="1"/>
  <c r="AG380" i="1" s="1"/>
  <c r="C379" i="1"/>
  <c r="AE136" i="1" l="1"/>
  <c r="AF136" i="1"/>
  <c r="T148" i="1"/>
  <c r="R136" i="1"/>
  <c r="O136" i="1"/>
  <c r="S136" i="1"/>
  <c r="H148" i="1"/>
  <c r="G148" i="1" s="1"/>
  <c r="B381" i="1"/>
  <c r="AG381" i="1" s="1"/>
  <c r="C380" i="1"/>
  <c r="X136" i="1" l="1"/>
  <c r="AD136" i="1"/>
  <c r="AC136" i="1"/>
  <c r="Y136" i="1"/>
  <c r="U136" i="1"/>
  <c r="V136" i="1"/>
  <c r="N159" i="1"/>
  <c r="I148" i="1"/>
  <c r="J148" i="1" s="1"/>
  <c r="P148" i="1" s="1"/>
  <c r="B382" i="1"/>
  <c r="AG382" i="1" s="1"/>
  <c r="C381" i="1"/>
  <c r="AB136" i="1" l="1"/>
  <c r="K137" i="1"/>
  <c r="W148" i="1"/>
  <c r="E149" i="1"/>
  <c r="B383" i="1"/>
  <c r="AG383" i="1" s="1"/>
  <c r="C382" i="1"/>
  <c r="M137" i="1" l="1"/>
  <c r="H149" i="1"/>
  <c r="G149" i="1" s="1"/>
  <c r="B384" i="1"/>
  <c r="AG384" i="1" s="1"/>
  <c r="C383" i="1"/>
  <c r="AE137" i="1" l="1"/>
  <c r="AF137" i="1"/>
  <c r="T149" i="1"/>
  <c r="O137" i="1"/>
  <c r="S137" i="1"/>
  <c r="R137" i="1"/>
  <c r="I149" i="1"/>
  <c r="J149" i="1" s="1"/>
  <c r="P149" i="1" s="1"/>
  <c r="N160" i="1"/>
  <c r="B385" i="1"/>
  <c r="AG385" i="1" s="1"/>
  <c r="C384" i="1"/>
  <c r="Y137" i="1" l="1"/>
  <c r="X137" i="1"/>
  <c r="AD137" i="1"/>
  <c r="AC137" i="1"/>
  <c r="U137" i="1"/>
  <c r="V137" i="1"/>
  <c r="W149" i="1"/>
  <c r="E150" i="1"/>
  <c r="B386" i="1"/>
  <c r="AG386" i="1" s="1"/>
  <c r="C385" i="1"/>
  <c r="K138" i="1" l="1"/>
  <c r="AB137" i="1"/>
  <c r="H150" i="1"/>
  <c r="G150" i="1" s="1"/>
  <c r="B387" i="1"/>
  <c r="AG387" i="1" s="1"/>
  <c r="C386" i="1"/>
  <c r="M138" i="1" l="1"/>
  <c r="N161" i="1"/>
  <c r="I150" i="1"/>
  <c r="J150" i="1" s="1"/>
  <c r="P150" i="1" s="1"/>
  <c r="B388" i="1"/>
  <c r="AG388" i="1" s="1"/>
  <c r="C387" i="1"/>
  <c r="AE138" i="1" l="1"/>
  <c r="AF138" i="1"/>
  <c r="T150" i="1"/>
  <c r="R138" i="1"/>
  <c r="O138" i="1"/>
  <c r="S138" i="1"/>
  <c r="W150" i="1"/>
  <c r="E151" i="1"/>
  <c r="B389" i="1"/>
  <c r="AG389" i="1" s="1"/>
  <c r="C388" i="1"/>
  <c r="V138" i="1" l="1"/>
  <c r="X138" i="1"/>
  <c r="AC138" i="1"/>
  <c r="AD138" i="1"/>
  <c r="AB138" i="1"/>
  <c r="K139" i="1"/>
  <c r="U138" i="1"/>
  <c r="Y138" i="1"/>
  <c r="H151" i="1"/>
  <c r="G151" i="1" s="1"/>
  <c r="B390" i="1"/>
  <c r="AG390" i="1" s="1"/>
  <c r="C389" i="1"/>
  <c r="M139" i="1" l="1"/>
  <c r="I151" i="1"/>
  <c r="J151" i="1" s="1"/>
  <c r="P151" i="1" s="1"/>
  <c r="N162" i="1"/>
  <c r="B391" i="1"/>
  <c r="AG391" i="1" s="1"/>
  <c r="C390" i="1"/>
  <c r="AF139" i="1" l="1"/>
  <c r="AE139" i="1"/>
  <c r="T151" i="1"/>
  <c r="S139" i="1"/>
  <c r="O139" i="1"/>
  <c r="R139" i="1"/>
  <c r="W151" i="1"/>
  <c r="C391" i="1"/>
  <c r="E152" i="1"/>
  <c r="X139" i="1" l="1"/>
  <c r="AD139" i="1"/>
  <c r="AC139" i="1"/>
  <c r="V139" i="1"/>
  <c r="U139" i="1"/>
  <c r="Y139" i="1"/>
  <c r="H152" i="1"/>
  <c r="G152" i="1" s="1"/>
  <c r="AB139" i="1" l="1"/>
  <c r="K140" i="1"/>
  <c r="N163" i="1"/>
  <c r="I152" i="1"/>
  <c r="J152" i="1" s="1"/>
  <c r="P152" i="1" s="1"/>
  <c r="M140" i="1" l="1"/>
  <c r="W152" i="1"/>
  <c r="E153" i="1"/>
  <c r="O140" i="1" l="1"/>
  <c r="S140" i="1"/>
  <c r="AE140" i="1"/>
  <c r="AF140" i="1"/>
  <c r="T152" i="1"/>
  <c r="R140" i="1"/>
  <c r="H153" i="1"/>
  <c r="G153" i="1" s="1"/>
  <c r="AC140" i="1" l="1"/>
  <c r="X140" i="1"/>
  <c r="AD140" i="1"/>
  <c r="Y140" i="1"/>
  <c r="V140" i="1"/>
  <c r="U140" i="1"/>
  <c r="N164" i="1"/>
  <c r="I153" i="1"/>
  <c r="J153" i="1" s="1"/>
  <c r="P153" i="1" s="1"/>
  <c r="K141" i="1" l="1"/>
  <c r="AB140" i="1"/>
  <c r="W153" i="1"/>
  <c r="E154" i="1"/>
  <c r="M141" i="1" l="1"/>
  <c r="H154" i="1"/>
  <c r="G154" i="1" s="1"/>
  <c r="AF141" i="1" l="1"/>
  <c r="AE141" i="1"/>
  <c r="T153" i="1"/>
  <c r="R141" i="1"/>
  <c r="O141" i="1"/>
  <c r="S141" i="1"/>
  <c r="I154" i="1"/>
  <c r="J154" i="1" s="1"/>
  <c r="P154" i="1" s="1"/>
  <c r="N165" i="1"/>
  <c r="V141" i="1" l="1"/>
  <c r="AB141" i="1"/>
  <c r="K142" i="1"/>
  <c r="X141" i="1"/>
  <c r="AC141" i="1"/>
  <c r="AD141" i="1"/>
  <c r="U141" i="1"/>
  <c r="Y141" i="1"/>
  <c r="W154" i="1"/>
  <c r="E155" i="1"/>
  <c r="M142" i="1" l="1"/>
  <c r="O142" i="1" s="1"/>
  <c r="H155" i="1"/>
  <c r="G155" i="1" s="1"/>
  <c r="AF142" i="1" l="1"/>
  <c r="AE142" i="1"/>
  <c r="T154" i="1"/>
  <c r="S142" i="1"/>
  <c r="R142" i="1"/>
  <c r="N166" i="1"/>
  <c r="I155" i="1"/>
  <c r="J155" i="1" s="1"/>
  <c r="P155" i="1" s="1"/>
  <c r="V142" i="1" l="1"/>
  <c r="AC142" i="1"/>
  <c r="X142" i="1"/>
  <c r="AD142" i="1"/>
  <c r="U142" i="1"/>
  <c r="Y142" i="1"/>
  <c r="W155" i="1"/>
  <c r="E156" i="1"/>
  <c r="AB142" i="1" l="1"/>
  <c r="K143" i="1"/>
  <c r="M143" i="1"/>
  <c r="H156" i="1"/>
  <c r="G156" i="1" s="1"/>
  <c r="S143" i="1" l="1"/>
  <c r="AC143" i="1" s="1"/>
  <c r="O143" i="1"/>
  <c r="AF143" i="1"/>
  <c r="AE143" i="1"/>
  <c r="T155" i="1"/>
  <c r="R143" i="1"/>
  <c r="N167" i="1"/>
  <c r="I156" i="1"/>
  <c r="J156" i="1" s="1"/>
  <c r="P156" i="1" s="1"/>
  <c r="AD143" i="1" l="1"/>
  <c r="X143" i="1"/>
  <c r="V143" i="1"/>
  <c r="Y143" i="1"/>
  <c r="U143" i="1"/>
  <c r="W156" i="1"/>
  <c r="E157" i="1"/>
  <c r="K144" i="1" l="1"/>
  <c r="AB143" i="1"/>
  <c r="H157" i="1"/>
  <c r="G157" i="1" s="1"/>
  <c r="M144" i="1" l="1"/>
  <c r="N168" i="1"/>
  <c r="I157" i="1"/>
  <c r="J157" i="1" s="1"/>
  <c r="P157" i="1" s="1"/>
  <c r="AE144" i="1" l="1"/>
  <c r="AF144" i="1"/>
  <c r="T156" i="1"/>
  <c r="R144" i="1"/>
  <c r="O144" i="1"/>
  <c r="S144" i="1"/>
  <c r="W157" i="1"/>
  <c r="E158" i="1"/>
  <c r="X144" i="1" l="1"/>
  <c r="AC144" i="1"/>
  <c r="AD144" i="1"/>
  <c r="Y144" i="1"/>
  <c r="U144" i="1"/>
  <c r="V144" i="1"/>
  <c r="H158" i="1"/>
  <c r="G158" i="1" s="1"/>
  <c r="K145" i="1" l="1"/>
  <c r="AB144" i="1"/>
  <c r="I158" i="1"/>
  <c r="J158" i="1" s="1"/>
  <c r="P158" i="1" s="1"/>
  <c r="N169" i="1"/>
  <c r="M145" i="1" l="1"/>
  <c r="W158" i="1"/>
  <c r="E159" i="1"/>
  <c r="AF145" i="1" l="1"/>
  <c r="AE145" i="1"/>
  <c r="T157" i="1"/>
  <c r="R145" i="1"/>
  <c r="S145" i="1"/>
  <c r="O145" i="1"/>
  <c r="H159" i="1"/>
  <c r="G159" i="1" s="1"/>
  <c r="V145" i="1" l="1"/>
  <c r="X145" i="1"/>
  <c r="AC145" i="1"/>
  <c r="AD145" i="1"/>
  <c r="U145" i="1"/>
  <c r="Y145" i="1"/>
  <c r="I159" i="1"/>
  <c r="J159" i="1" s="1"/>
  <c r="P159" i="1" s="1"/>
  <c r="N170" i="1"/>
  <c r="K146" i="1" l="1"/>
  <c r="AB145" i="1"/>
  <c r="W159" i="1"/>
  <c r="E160" i="1"/>
  <c r="M146" i="1" l="1"/>
  <c r="AE146" i="1" s="1"/>
  <c r="H160" i="1"/>
  <c r="G160" i="1" s="1"/>
  <c r="AF146" i="1" l="1"/>
  <c r="T158" i="1"/>
  <c r="S146" i="1"/>
  <c r="R146" i="1"/>
  <c r="O146" i="1"/>
  <c r="N171" i="1"/>
  <c r="I160" i="1"/>
  <c r="J160" i="1" s="1"/>
  <c r="P160" i="1" s="1"/>
  <c r="X146" i="1" l="1"/>
  <c r="AC146" i="1"/>
  <c r="Y146" i="1"/>
  <c r="V146" i="1"/>
  <c r="U146" i="1"/>
  <c r="AD146" i="1"/>
  <c r="W160" i="1"/>
  <c r="E161" i="1"/>
  <c r="K147" i="1" l="1"/>
  <c r="M147" i="1" s="1"/>
  <c r="AB146" i="1"/>
  <c r="H161" i="1"/>
  <c r="G161" i="1" s="1"/>
  <c r="AE147" i="1" l="1"/>
  <c r="AF147" i="1"/>
  <c r="T159" i="1"/>
  <c r="R147" i="1"/>
  <c r="O147" i="1"/>
  <c r="S147" i="1"/>
  <c r="N172" i="1"/>
  <c r="I161" i="1"/>
  <c r="J161" i="1" s="1"/>
  <c r="P161" i="1" s="1"/>
  <c r="V147" i="1" l="1"/>
  <c r="U147" i="1"/>
  <c r="Y147" i="1"/>
  <c r="X147" i="1"/>
  <c r="AD147" i="1"/>
  <c r="AC147" i="1"/>
  <c r="W161" i="1"/>
  <c r="E162" i="1"/>
  <c r="K148" i="1" l="1"/>
  <c r="AB147" i="1"/>
  <c r="H162" i="1"/>
  <c r="G162" i="1" s="1"/>
  <c r="M148" i="1" l="1"/>
  <c r="S148" i="1" s="1"/>
  <c r="I162" i="1"/>
  <c r="J162" i="1" s="1"/>
  <c r="P162" i="1" s="1"/>
  <c r="N173" i="1"/>
  <c r="AE148" i="1" l="1"/>
  <c r="AF148" i="1"/>
  <c r="O148" i="1"/>
  <c r="R148" i="1"/>
  <c r="AD148" i="1" s="1"/>
  <c r="T160" i="1"/>
  <c r="X148" i="1"/>
  <c r="AC148" i="1"/>
  <c r="W162" i="1"/>
  <c r="E163" i="1"/>
  <c r="Y148" i="1" l="1"/>
  <c r="U148" i="1"/>
  <c r="V148" i="1"/>
  <c r="H163" i="1"/>
  <c r="G163" i="1" s="1"/>
  <c r="K149" i="1" l="1"/>
  <c r="AB148" i="1"/>
  <c r="N174" i="1"/>
  <c r="I163" i="1"/>
  <c r="J163" i="1" s="1"/>
  <c r="P163" i="1" s="1"/>
  <c r="M149" i="1" l="1"/>
  <c r="O149" i="1" s="1"/>
  <c r="W163" i="1"/>
  <c r="E164" i="1"/>
  <c r="R149" i="1" l="1"/>
  <c r="AF149" i="1"/>
  <c r="T161" i="1"/>
  <c r="AE149" i="1"/>
  <c r="S149" i="1"/>
  <c r="H164" i="1"/>
  <c r="G164" i="1" s="1"/>
  <c r="Y149" i="1" l="1"/>
  <c r="U149" i="1"/>
  <c r="V149" i="1"/>
  <c r="X149" i="1"/>
  <c r="AC149" i="1"/>
  <c r="AD149" i="1"/>
  <c r="I164" i="1"/>
  <c r="J164" i="1" s="1"/>
  <c r="P164" i="1" s="1"/>
  <c r="N175" i="1"/>
  <c r="K150" i="1" l="1"/>
  <c r="AB149" i="1"/>
  <c r="W164" i="1"/>
  <c r="E165" i="1"/>
  <c r="M150" i="1" l="1"/>
  <c r="O150" i="1"/>
  <c r="H165" i="1"/>
  <c r="G165" i="1" s="1"/>
  <c r="S150" i="1" l="1"/>
  <c r="R150" i="1"/>
  <c r="AF150" i="1"/>
  <c r="AE150" i="1"/>
  <c r="T162" i="1"/>
  <c r="N176" i="1"/>
  <c r="I165" i="1"/>
  <c r="J165" i="1" s="1"/>
  <c r="P165" i="1" s="1"/>
  <c r="V150" i="1" l="1"/>
  <c r="AC150" i="1"/>
  <c r="AD150" i="1"/>
  <c r="X150" i="1"/>
  <c r="Y150" i="1"/>
  <c r="U150" i="1"/>
  <c r="W165" i="1"/>
  <c r="E166" i="1"/>
  <c r="K151" i="1" l="1"/>
  <c r="M151" i="1" s="1"/>
  <c r="AB150" i="1"/>
  <c r="H166" i="1"/>
  <c r="G166" i="1" s="1"/>
  <c r="S151" i="1" l="1"/>
  <c r="O151" i="1"/>
  <c r="R151" i="1"/>
  <c r="AF151" i="1"/>
  <c r="T163" i="1"/>
  <c r="AE151" i="1"/>
  <c r="N177" i="1"/>
  <c r="I166" i="1"/>
  <c r="J166" i="1" s="1"/>
  <c r="P166" i="1" s="1"/>
  <c r="X151" i="1" l="1"/>
  <c r="AC151" i="1"/>
  <c r="Y151" i="1"/>
  <c r="U151" i="1"/>
  <c r="V151" i="1"/>
  <c r="AD151" i="1"/>
  <c r="W166" i="1"/>
  <c r="E167" i="1"/>
  <c r="K152" i="1" l="1"/>
  <c r="AB151" i="1"/>
  <c r="H167" i="1"/>
  <c r="G167" i="1" s="1"/>
  <c r="M152" i="1" l="1"/>
  <c r="S152" i="1" s="1"/>
  <c r="O152" i="1"/>
  <c r="R152" i="1"/>
  <c r="AD152" i="1"/>
  <c r="AC152" i="1"/>
  <c r="N178" i="1"/>
  <c r="I167" i="1"/>
  <c r="J167" i="1" s="1"/>
  <c r="P167" i="1" s="1"/>
  <c r="U152" i="1" l="1"/>
  <c r="X152" i="1"/>
  <c r="V152" i="1"/>
  <c r="Y152" i="1"/>
  <c r="T164" i="1"/>
  <c r="AE152" i="1"/>
  <c r="AF152" i="1"/>
  <c r="W167" i="1"/>
  <c r="E168" i="1"/>
  <c r="K153" i="1" l="1"/>
  <c r="M153" i="1" s="1"/>
  <c r="AB152" i="1"/>
  <c r="H168" i="1"/>
  <c r="G168" i="1" s="1"/>
  <c r="AF153" i="1" l="1"/>
  <c r="AE153" i="1"/>
  <c r="T165" i="1"/>
  <c r="S153" i="1"/>
  <c r="R153" i="1"/>
  <c r="O153" i="1"/>
  <c r="N179" i="1"/>
  <c r="I168" i="1"/>
  <c r="J168" i="1" s="1"/>
  <c r="P168" i="1" s="1"/>
  <c r="Y153" i="1" l="1"/>
  <c r="X153" i="1"/>
  <c r="AC153" i="1"/>
  <c r="AD153" i="1"/>
  <c r="V153" i="1"/>
  <c r="U153" i="1"/>
  <c r="W168" i="1"/>
  <c r="E169" i="1"/>
  <c r="K154" i="1" l="1"/>
  <c r="AB153" i="1"/>
  <c r="H169" i="1"/>
  <c r="G169" i="1" s="1"/>
  <c r="M154" i="1" l="1"/>
  <c r="N180" i="1"/>
  <c r="I169" i="1"/>
  <c r="J169" i="1" s="1"/>
  <c r="P169" i="1" s="1"/>
  <c r="AF154" i="1" l="1"/>
  <c r="AE154" i="1"/>
  <c r="T166" i="1"/>
  <c r="R154" i="1"/>
  <c r="S154" i="1"/>
  <c r="O154" i="1"/>
  <c r="W169" i="1"/>
  <c r="E170" i="1"/>
  <c r="U154" i="1" l="1"/>
  <c r="V154" i="1"/>
  <c r="X154" i="1"/>
  <c r="AC154" i="1"/>
  <c r="AD154" i="1"/>
  <c r="Y154" i="1"/>
  <c r="H170" i="1"/>
  <c r="G170" i="1" s="1"/>
  <c r="K155" i="1" l="1"/>
  <c r="M155" i="1" s="1"/>
  <c r="AB154" i="1"/>
  <c r="I170" i="1"/>
  <c r="J170" i="1" s="1"/>
  <c r="P170" i="1" s="1"/>
  <c r="N181" i="1"/>
  <c r="S155" i="1" l="1"/>
  <c r="O155" i="1"/>
  <c r="AF155" i="1"/>
  <c r="AE155" i="1"/>
  <c r="T167" i="1"/>
  <c r="R155" i="1"/>
  <c r="W170" i="1"/>
  <c r="E171" i="1"/>
  <c r="AD155" i="1" l="1"/>
  <c r="AC155" i="1"/>
  <c r="X155" i="1"/>
  <c r="Y155" i="1"/>
  <c r="V155" i="1"/>
  <c r="U155" i="1"/>
  <c r="H171" i="1"/>
  <c r="G171" i="1" s="1"/>
  <c r="K156" i="1" l="1"/>
  <c r="AB155" i="1"/>
  <c r="N182" i="1"/>
  <c r="I171" i="1"/>
  <c r="J171" i="1" s="1"/>
  <c r="P171" i="1" s="1"/>
  <c r="M156" i="1" l="1"/>
  <c r="W171" i="1"/>
  <c r="E172" i="1"/>
  <c r="S156" i="1" l="1"/>
  <c r="O156" i="1"/>
  <c r="AF156" i="1"/>
  <c r="AE156" i="1"/>
  <c r="T168" i="1"/>
  <c r="R156" i="1"/>
  <c r="H172" i="1"/>
  <c r="G172" i="1" s="1"/>
  <c r="AD156" i="1" l="1"/>
  <c r="AC156" i="1"/>
  <c r="X156" i="1"/>
  <c r="Y156" i="1"/>
  <c r="V156" i="1"/>
  <c r="U156" i="1"/>
  <c r="I172" i="1"/>
  <c r="J172" i="1" s="1"/>
  <c r="P172" i="1" s="1"/>
  <c r="N183" i="1"/>
  <c r="AB156" i="1" l="1"/>
  <c r="K157" i="1"/>
  <c r="W172" i="1"/>
  <c r="E173" i="1"/>
  <c r="M157" i="1" l="1"/>
  <c r="H173" i="1"/>
  <c r="G173" i="1" s="1"/>
  <c r="O157" i="1" l="1"/>
  <c r="S157" i="1"/>
  <c r="AE157" i="1"/>
  <c r="AF157" i="1"/>
  <c r="T169" i="1"/>
  <c r="R157" i="1"/>
  <c r="I173" i="1"/>
  <c r="J173" i="1" s="1"/>
  <c r="P173" i="1" s="1"/>
  <c r="N184" i="1"/>
  <c r="AD157" i="1" l="1"/>
  <c r="AC157" i="1"/>
  <c r="X157" i="1"/>
  <c r="V157" i="1"/>
  <c r="Y157" i="1"/>
  <c r="U157" i="1"/>
  <c r="W173" i="1"/>
  <c r="E174" i="1"/>
  <c r="AB157" i="1" l="1"/>
  <c r="K158" i="1"/>
  <c r="H174" i="1"/>
  <c r="G174" i="1" s="1"/>
  <c r="M158" i="1" l="1"/>
  <c r="N185" i="1"/>
  <c r="I174" i="1"/>
  <c r="J174" i="1" s="1"/>
  <c r="P174" i="1" s="1"/>
  <c r="AF158" i="1" l="1"/>
  <c r="AE158" i="1"/>
  <c r="T170" i="1"/>
  <c r="O158" i="1"/>
  <c r="S158" i="1"/>
  <c r="R158" i="1"/>
  <c r="W174" i="1"/>
  <c r="E175" i="1"/>
  <c r="X158" i="1" l="1"/>
  <c r="AD158" i="1"/>
  <c r="AC158" i="1"/>
  <c r="Y158" i="1"/>
  <c r="U158" i="1"/>
  <c r="V158" i="1"/>
  <c r="H175" i="1"/>
  <c r="G175" i="1" s="1"/>
  <c r="K159" i="1" l="1"/>
  <c r="AB158" i="1"/>
  <c r="N186" i="1"/>
  <c r="I175" i="1"/>
  <c r="J175" i="1" s="1"/>
  <c r="P175" i="1" s="1"/>
  <c r="M159" i="1" l="1"/>
  <c r="W175" i="1"/>
  <c r="E176" i="1"/>
  <c r="AF159" i="1" l="1"/>
  <c r="AE159" i="1"/>
  <c r="T171" i="1"/>
  <c r="R159" i="1"/>
  <c r="O159" i="1"/>
  <c r="S159" i="1"/>
  <c r="H176" i="1"/>
  <c r="G176" i="1" s="1"/>
  <c r="U159" i="1" l="1"/>
  <c r="Y159" i="1"/>
  <c r="V159" i="1"/>
  <c r="X159" i="1"/>
  <c r="AC159" i="1"/>
  <c r="AD159" i="1"/>
  <c r="I176" i="1"/>
  <c r="J176" i="1" s="1"/>
  <c r="P176" i="1" s="1"/>
  <c r="N187" i="1"/>
  <c r="K160" i="1" l="1"/>
  <c r="AB159" i="1"/>
  <c r="W176" i="1"/>
  <c r="E177" i="1"/>
  <c r="M160" i="1" l="1"/>
  <c r="H177" i="1"/>
  <c r="G177" i="1" s="1"/>
  <c r="AE160" i="1" l="1"/>
  <c r="AF160" i="1"/>
  <c r="T172" i="1"/>
  <c r="R160" i="1"/>
  <c r="S160" i="1"/>
  <c r="O160" i="1"/>
  <c r="N188" i="1"/>
  <c r="I177" i="1"/>
  <c r="J177" i="1" s="1"/>
  <c r="P177" i="1" s="1"/>
  <c r="Y160" i="1" l="1"/>
  <c r="X160" i="1"/>
  <c r="AC160" i="1"/>
  <c r="AD160" i="1"/>
  <c r="U160" i="1"/>
  <c r="V160" i="1"/>
  <c r="W177" i="1"/>
  <c r="E178" i="1"/>
  <c r="K161" i="1" l="1"/>
  <c r="AB160" i="1"/>
  <c r="H178" i="1"/>
  <c r="G178" i="1" s="1"/>
  <c r="M161" i="1" l="1"/>
  <c r="N189" i="1"/>
  <c r="I178" i="1"/>
  <c r="J178" i="1" s="1"/>
  <c r="P178" i="1" s="1"/>
  <c r="AE161" i="1" l="1"/>
  <c r="AF161" i="1"/>
  <c r="T173" i="1"/>
  <c r="R161" i="1"/>
  <c r="S161" i="1"/>
  <c r="O161" i="1"/>
  <c r="W178" i="1"/>
  <c r="E179" i="1"/>
  <c r="V161" i="1" l="1"/>
  <c r="Y161" i="1"/>
  <c r="X161" i="1"/>
  <c r="AD161" i="1"/>
  <c r="AC161" i="1"/>
  <c r="U161" i="1"/>
  <c r="H179" i="1"/>
  <c r="G179" i="1" s="1"/>
  <c r="K162" i="1" l="1"/>
  <c r="M162" i="1" s="1"/>
  <c r="AB161" i="1"/>
  <c r="I179" i="1"/>
  <c r="J179" i="1" s="1"/>
  <c r="P179" i="1" s="1"/>
  <c r="N190" i="1"/>
  <c r="S162" i="1" l="1"/>
  <c r="O162" i="1"/>
  <c r="AE162" i="1"/>
  <c r="AF162" i="1"/>
  <c r="T174" i="1"/>
  <c r="R162" i="1"/>
  <c r="W179" i="1"/>
  <c r="E180" i="1"/>
  <c r="X162" i="1" l="1"/>
  <c r="AC162" i="1"/>
  <c r="AD162" i="1"/>
  <c r="Y162" i="1"/>
  <c r="V162" i="1"/>
  <c r="U162" i="1"/>
  <c r="H180" i="1"/>
  <c r="G180" i="1" s="1"/>
  <c r="AB162" i="1" l="1"/>
  <c r="K163" i="1"/>
  <c r="I180" i="1"/>
  <c r="J180" i="1" s="1"/>
  <c r="P180" i="1" s="1"/>
  <c r="N191" i="1"/>
  <c r="M163" i="1" l="1"/>
  <c r="W180" i="1"/>
  <c r="E181" i="1"/>
  <c r="AE163" i="1" l="1"/>
  <c r="AF163" i="1"/>
  <c r="T175" i="1"/>
  <c r="R163" i="1"/>
  <c r="O163" i="1"/>
  <c r="S163" i="1"/>
  <c r="H181" i="1"/>
  <c r="G181" i="1" s="1"/>
  <c r="V163" i="1" l="1"/>
  <c r="X163" i="1"/>
  <c r="AC163" i="1"/>
  <c r="AD163" i="1"/>
  <c r="U163" i="1"/>
  <c r="Y163" i="1"/>
  <c r="I181" i="1"/>
  <c r="J181" i="1" s="1"/>
  <c r="P181" i="1" s="1"/>
  <c r="N192" i="1"/>
  <c r="AB163" i="1" l="1"/>
  <c r="K164" i="1"/>
  <c r="M164" i="1" s="1"/>
  <c r="W181" i="1"/>
  <c r="E182" i="1"/>
  <c r="AE164" i="1" l="1"/>
  <c r="AF164" i="1"/>
  <c r="T176" i="1"/>
  <c r="R164" i="1"/>
  <c r="O164" i="1"/>
  <c r="S164" i="1"/>
  <c r="H182" i="1"/>
  <c r="G182" i="1" s="1"/>
  <c r="V164" i="1" l="1"/>
  <c r="X164" i="1"/>
  <c r="AD164" i="1"/>
  <c r="AC164" i="1"/>
  <c r="U164" i="1"/>
  <c r="Y164" i="1"/>
  <c r="N193" i="1"/>
  <c r="I182" i="1"/>
  <c r="J182" i="1" s="1"/>
  <c r="P182" i="1" s="1"/>
  <c r="K165" i="1" l="1"/>
  <c r="M165" i="1" s="1"/>
  <c r="AB164" i="1"/>
  <c r="W182" i="1"/>
  <c r="E183" i="1"/>
  <c r="S165" i="1" l="1"/>
  <c r="R165" i="1"/>
  <c r="AE165" i="1"/>
  <c r="AF165" i="1"/>
  <c r="T177" i="1"/>
  <c r="O165" i="1"/>
  <c r="H183" i="1"/>
  <c r="G183" i="1" s="1"/>
  <c r="AC165" i="1" l="1"/>
  <c r="AD165" i="1"/>
  <c r="X165" i="1"/>
  <c r="U165" i="1"/>
  <c r="V165" i="1"/>
  <c r="Y165" i="1"/>
  <c r="N194" i="1"/>
  <c r="I183" i="1"/>
  <c r="J183" i="1" s="1"/>
  <c r="P183" i="1" s="1"/>
  <c r="K166" i="1" l="1"/>
  <c r="AB165" i="1"/>
  <c r="W183" i="1"/>
  <c r="E184" i="1"/>
  <c r="M166" i="1" l="1"/>
  <c r="H184" i="1"/>
  <c r="G184" i="1" s="1"/>
  <c r="O166" i="1" l="1"/>
  <c r="S166" i="1"/>
  <c r="R166" i="1"/>
  <c r="T178" i="1"/>
  <c r="AF166" i="1"/>
  <c r="AE166" i="1"/>
  <c r="N195" i="1"/>
  <c r="I184" i="1"/>
  <c r="J184" i="1" s="1"/>
  <c r="P184" i="1" s="1"/>
  <c r="AC166" i="1" l="1"/>
  <c r="X166" i="1"/>
  <c r="Y166" i="1"/>
  <c r="AD166" i="1"/>
  <c r="U166" i="1"/>
  <c r="V166" i="1"/>
  <c r="W184" i="1"/>
  <c r="E185" i="1"/>
  <c r="AB166" i="1" l="1"/>
  <c r="K167" i="1"/>
  <c r="H185" i="1"/>
  <c r="G185" i="1" s="1"/>
  <c r="M167" i="1" l="1"/>
  <c r="N196" i="1"/>
  <c r="I185" i="1"/>
  <c r="J185" i="1" s="1"/>
  <c r="P185" i="1" s="1"/>
  <c r="S167" i="1" l="1"/>
  <c r="X167" i="1" s="1"/>
  <c r="R167" i="1"/>
  <c r="O167" i="1"/>
  <c r="AC167" i="1"/>
  <c r="AD167" i="1"/>
  <c r="T179" i="1"/>
  <c r="AE167" i="1"/>
  <c r="AF167" i="1"/>
  <c r="W185" i="1"/>
  <c r="E186" i="1"/>
  <c r="Y167" i="1" l="1"/>
  <c r="V167" i="1"/>
  <c r="U167" i="1"/>
  <c r="H186" i="1"/>
  <c r="G186" i="1" s="1"/>
  <c r="AB167" i="1" l="1"/>
  <c r="K168" i="1"/>
  <c r="N197" i="1"/>
  <c r="I186" i="1"/>
  <c r="J186" i="1" s="1"/>
  <c r="P186" i="1" s="1"/>
  <c r="M168" i="1" l="1"/>
  <c r="AD168" i="1"/>
  <c r="W186" i="1"/>
  <c r="E187" i="1"/>
  <c r="AE168" i="1" l="1"/>
  <c r="R168" i="1"/>
  <c r="S168" i="1"/>
  <c r="X168" i="1" s="1"/>
  <c r="O168" i="1"/>
  <c r="Y168" i="1" s="1"/>
  <c r="T180" i="1"/>
  <c r="AF168" i="1"/>
  <c r="AC168" i="1"/>
  <c r="H187" i="1"/>
  <c r="G187" i="1" s="1"/>
  <c r="U168" i="1" l="1"/>
  <c r="V168" i="1"/>
  <c r="AC169" i="1"/>
  <c r="AF169" i="1"/>
  <c r="AE169" i="1"/>
  <c r="I187" i="1"/>
  <c r="J187" i="1" s="1"/>
  <c r="P187" i="1" s="1"/>
  <c r="N198" i="1"/>
  <c r="K169" i="1" l="1"/>
  <c r="AB168" i="1"/>
  <c r="AD169" i="1"/>
  <c r="W187" i="1"/>
  <c r="E188" i="1"/>
  <c r="M169" i="1" l="1"/>
  <c r="H188" i="1"/>
  <c r="G188" i="1" s="1"/>
  <c r="T181" i="1" l="1"/>
  <c r="S169" i="1"/>
  <c r="X169" i="1" s="1"/>
  <c r="R169" i="1"/>
  <c r="O169" i="1"/>
  <c r="I188" i="1"/>
  <c r="J188" i="1" s="1"/>
  <c r="P188" i="1" s="1"/>
  <c r="N199" i="1"/>
  <c r="Y169" i="1" l="1"/>
  <c r="U169" i="1"/>
  <c r="V169" i="1"/>
  <c r="AF170" i="1"/>
  <c r="AE170" i="1"/>
  <c r="W188" i="1"/>
  <c r="E189" i="1"/>
  <c r="AB169" i="1" l="1"/>
  <c r="K170" i="1"/>
  <c r="AC170" i="1"/>
  <c r="AD170" i="1"/>
  <c r="H189" i="1"/>
  <c r="G189" i="1" s="1"/>
  <c r="S170" i="1" l="1"/>
  <c r="X170" i="1" s="1"/>
  <c r="O170" i="1"/>
  <c r="R170" i="1"/>
  <c r="U170" i="1" s="1"/>
  <c r="M170" i="1"/>
  <c r="N200" i="1"/>
  <c r="I189" i="1"/>
  <c r="J189" i="1" s="1"/>
  <c r="P189" i="1" s="1"/>
  <c r="V170" i="1" l="1"/>
  <c r="T182" i="1"/>
  <c r="Y170" i="1"/>
  <c r="W189" i="1"/>
  <c r="E190" i="1"/>
  <c r="AB170" i="1" l="1"/>
  <c r="K171" i="1"/>
  <c r="M171" i="1" s="1"/>
  <c r="O171" i="1"/>
  <c r="R171" i="1"/>
  <c r="AD171" i="1" s="1"/>
  <c r="AC171" i="1"/>
  <c r="X171" i="1"/>
  <c r="AF171" i="1"/>
  <c r="AE171" i="1"/>
  <c r="H190" i="1"/>
  <c r="G190" i="1" s="1"/>
  <c r="S171" i="1" l="1"/>
  <c r="T183" i="1"/>
  <c r="Y171" i="1"/>
  <c r="U171" i="1"/>
  <c r="V171" i="1"/>
  <c r="N201" i="1"/>
  <c r="I190" i="1"/>
  <c r="J190" i="1" s="1"/>
  <c r="P190" i="1" s="1"/>
  <c r="K172" i="1" l="1"/>
  <c r="M172" i="1" s="1"/>
  <c r="AB171" i="1"/>
  <c r="W190" i="1"/>
  <c r="E191" i="1"/>
  <c r="AE172" i="1" l="1"/>
  <c r="AF172" i="1"/>
  <c r="T184" i="1"/>
  <c r="R172" i="1"/>
  <c r="O172" i="1"/>
  <c r="S172" i="1"/>
  <c r="H191" i="1"/>
  <c r="G191" i="1" s="1"/>
  <c r="V172" i="1" l="1"/>
  <c r="X172" i="1"/>
  <c r="AC172" i="1"/>
  <c r="AD172" i="1"/>
  <c r="U172" i="1"/>
  <c r="Y172" i="1"/>
  <c r="I191" i="1"/>
  <c r="J191" i="1" s="1"/>
  <c r="P191" i="1" s="1"/>
  <c r="N202" i="1"/>
  <c r="K173" i="1" l="1"/>
  <c r="M173" i="1" s="1"/>
  <c r="AB172" i="1"/>
  <c r="W191" i="1"/>
  <c r="E192" i="1"/>
  <c r="O173" i="1" l="1"/>
  <c r="S173" i="1"/>
  <c r="AE173" i="1"/>
  <c r="AF173" i="1"/>
  <c r="T185" i="1"/>
  <c r="R173" i="1"/>
  <c r="H192" i="1"/>
  <c r="G192" i="1" s="1"/>
  <c r="X173" i="1" l="1"/>
  <c r="AC173" i="1"/>
  <c r="AD173" i="1"/>
  <c r="Y173" i="1"/>
  <c r="V173" i="1"/>
  <c r="U173" i="1"/>
  <c r="I192" i="1"/>
  <c r="J192" i="1" s="1"/>
  <c r="P192" i="1" s="1"/>
  <c r="N203" i="1"/>
  <c r="AB173" i="1" l="1"/>
  <c r="K174" i="1"/>
  <c r="W192" i="1"/>
  <c r="E193" i="1"/>
  <c r="M174" i="1" l="1"/>
  <c r="H193" i="1"/>
  <c r="G193" i="1" s="1"/>
  <c r="R174" i="1" l="1"/>
  <c r="O174" i="1"/>
  <c r="AE174" i="1"/>
  <c r="AF174" i="1"/>
  <c r="T186" i="1"/>
  <c r="S174" i="1"/>
  <c r="N204" i="1"/>
  <c r="I193" i="1"/>
  <c r="J193" i="1" s="1"/>
  <c r="P193" i="1" s="1"/>
  <c r="U174" i="1" l="1"/>
  <c r="AD174" i="1"/>
  <c r="V174" i="1"/>
  <c r="Y174" i="1"/>
  <c r="AC174" i="1"/>
  <c r="X174" i="1"/>
  <c r="W193" i="1"/>
  <c r="E194" i="1"/>
  <c r="K175" i="1" l="1"/>
  <c r="AB174" i="1"/>
  <c r="H194" i="1"/>
  <c r="G194" i="1" s="1"/>
  <c r="M175" i="1" l="1"/>
  <c r="N205" i="1"/>
  <c r="I194" i="1"/>
  <c r="J194" i="1" s="1"/>
  <c r="P194" i="1" s="1"/>
  <c r="AF175" i="1" l="1"/>
  <c r="AE175" i="1"/>
  <c r="T187" i="1"/>
  <c r="O175" i="1"/>
  <c r="R175" i="1"/>
  <c r="S175" i="1"/>
  <c r="W194" i="1"/>
  <c r="E195" i="1"/>
  <c r="V175" i="1" l="1"/>
  <c r="X175" i="1"/>
  <c r="AD175" i="1"/>
  <c r="AC175" i="1"/>
  <c r="Y175" i="1"/>
  <c r="U175" i="1"/>
  <c r="H195" i="1"/>
  <c r="G195" i="1" s="1"/>
  <c r="K176" i="1" l="1"/>
  <c r="M176" i="1" s="1"/>
  <c r="AB175" i="1"/>
  <c r="I195" i="1"/>
  <c r="J195" i="1" s="1"/>
  <c r="P195" i="1" s="1"/>
  <c r="N206" i="1"/>
  <c r="O176" i="1" l="1"/>
  <c r="S176" i="1"/>
  <c r="AF176" i="1"/>
  <c r="AE176" i="1"/>
  <c r="T188" i="1"/>
  <c r="R176" i="1"/>
  <c r="W195" i="1"/>
  <c r="E196" i="1"/>
  <c r="AC176" i="1" l="1"/>
  <c r="X176" i="1"/>
  <c r="AD176" i="1"/>
  <c r="Y176" i="1"/>
  <c r="V176" i="1"/>
  <c r="U176" i="1"/>
  <c r="H196" i="1"/>
  <c r="G196" i="1" s="1"/>
  <c r="AB176" i="1" l="1"/>
  <c r="K177" i="1"/>
  <c r="N207" i="1"/>
  <c r="I196" i="1"/>
  <c r="J196" i="1" s="1"/>
  <c r="P196" i="1" s="1"/>
  <c r="M177" i="1" l="1"/>
  <c r="W196" i="1"/>
  <c r="E197" i="1"/>
  <c r="AE177" i="1" l="1"/>
  <c r="AF177" i="1"/>
  <c r="T189" i="1"/>
  <c r="O177" i="1"/>
  <c r="R177" i="1"/>
  <c r="S177" i="1"/>
  <c r="H197" i="1"/>
  <c r="G197" i="1" s="1"/>
  <c r="V177" i="1" l="1"/>
  <c r="X177" i="1"/>
  <c r="AC177" i="1"/>
  <c r="AD177" i="1"/>
  <c r="Y177" i="1"/>
  <c r="U177" i="1"/>
  <c r="I197" i="1"/>
  <c r="J197" i="1" s="1"/>
  <c r="P197" i="1" s="1"/>
  <c r="N208" i="1"/>
  <c r="K178" i="1" l="1"/>
  <c r="M178" i="1" s="1"/>
  <c r="AB177" i="1"/>
  <c r="W197" i="1"/>
  <c r="E198" i="1"/>
  <c r="O178" i="1" l="1"/>
  <c r="R178" i="1"/>
  <c r="AF178" i="1"/>
  <c r="AE178" i="1"/>
  <c r="T190" i="1"/>
  <c r="S178" i="1"/>
  <c r="H198" i="1"/>
  <c r="G198" i="1" s="1"/>
  <c r="AD178" i="1" l="1"/>
  <c r="V178" i="1"/>
  <c r="AC178" i="1"/>
  <c r="X178" i="1"/>
  <c r="Y178" i="1"/>
  <c r="U178" i="1"/>
  <c r="I198" i="1"/>
  <c r="J198" i="1" s="1"/>
  <c r="P198" i="1" s="1"/>
  <c r="N209" i="1"/>
  <c r="AB178" i="1" l="1"/>
  <c r="K179" i="1"/>
  <c r="W198" i="1"/>
  <c r="E199" i="1"/>
  <c r="M179" i="1" l="1"/>
  <c r="H199" i="1"/>
  <c r="G199" i="1" s="1"/>
  <c r="AE179" i="1" l="1"/>
  <c r="AF179" i="1"/>
  <c r="T191" i="1"/>
  <c r="R179" i="1"/>
  <c r="O179" i="1"/>
  <c r="S179" i="1"/>
  <c r="N210" i="1"/>
  <c r="I199" i="1"/>
  <c r="J199" i="1" s="1"/>
  <c r="P199" i="1" s="1"/>
  <c r="X179" i="1" l="1"/>
  <c r="AC179" i="1"/>
  <c r="AD179" i="1"/>
  <c r="Y179" i="1"/>
  <c r="U179" i="1"/>
  <c r="V179" i="1"/>
  <c r="W199" i="1"/>
  <c r="E200" i="1"/>
  <c r="AB179" i="1" l="1"/>
  <c r="K180" i="1"/>
  <c r="H200" i="1"/>
  <c r="G200" i="1" s="1"/>
  <c r="M180" i="1" l="1"/>
  <c r="N211" i="1"/>
  <c r="I200" i="1"/>
  <c r="J200" i="1" s="1"/>
  <c r="P200" i="1" s="1"/>
  <c r="AF180" i="1" l="1"/>
  <c r="AE180" i="1"/>
  <c r="T192" i="1"/>
  <c r="R180" i="1"/>
  <c r="O180" i="1"/>
  <c r="S180" i="1"/>
  <c r="W200" i="1"/>
  <c r="E201" i="1"/>
  <c r="X180" i="1" l="1"/>
  <c r="AC180" i="1"/>
  <c r="AD180" i="1"/>
  <c r="Y180" i="1"/>
  <c r="U180" i="1"/>
  <c r="V180" i="1"/>
  <c r="H201" i="1"/>
  <c r="G201" i="1" s="1"/>
  <c r="K181" i="1" l="1"/>
  <c r="AB180" i="1"/>
  <c r="N212" i="1"/>
  <c r="I201" i="1"/>
  <c r="J201" i="1" s="1"/>
  <c r="P201" i="1" s="1"/>
  <c r="M181" i="1" l="1"/>
  <c r="W201" i="1"/>
  <c r="E202" i="1"/>
  <c r="AF181" i="1" l="1"/>
  <c r="AE181" i="1"/>
  <c r="T193" i="1"/>
  <c r="S181" i="1"/>
  <c r="R181" i="1"/>
  <c r="O181" i="1"/>
  <c r="H202" i="1"/>
  <c r="G202" i="1" s="1"/>
  <c r="V181" i="1" l="1"/>
  <c r="Y181" i="1"/>
  <c r="AC181" i="1"/>
  <c r="X181" i="1"/>
  <c r="AD181" i="1"/>
  <c r="U181" i="1"/>
  <c r="N213" i="1"/>
  <c r="I202" i="1"/>
  <c r="J202" i="1" s="1"/>
  <c r="P202" i="1" s="1"/>
  <c r="K182" i="1" l="1"/>
  <c r="M182" i="1" s="1"/>
  <c r="AB181" i="1"/>
  <c r="W202" i="1"/>
  <c r="E203" i="1"/>
  <c r="AF182" i="1" l="1"/>
  <c r="AE182" i="1"/>
  <c r="T194" i="1"/>
  <c r="R182" i="1"/>
  <c r="S182" i="1"/>
  <c r="O182" i="1"/>
  <c r="H203" i="1"/>
  <c r="G203" i="1" s="1"/>
  <c r="V182" i="1" l="1"/>
  <c r="U182" i="1"/>
  <c r="X182" i="1"/>
  <c r="AC182" i="1"/>
  <c r="AD182" i="1"/>
  <c r="Y182" i="1"/>
  <c r="N214" i="1"/>
  <c r="I203" i="1"/>
  <c r="J203" i="1" s="1"/>
  <c r="P203" i="1" s="1"/>
  <c r="K183" i="1" l="1"/>
  <c r="AB182" i="1"/>
  <c r="W203" i="1"/>
  <c r="E204" i="1"/>
  <c r="M183" i="1" l="1"/>
  <c r="H204" i="1"/>
  <c r="G204" i="1" s="1"/>
  <c r="AF183" i="1" l="1"/>
  <c r="AE183" i="1"/>
  <c r="T195" i="1"/>
  <c r="R183" i="1"/>
  <c r="O183" i="1"/>
  <c r="S183" i="1"/>
  <c r="N215" i="1"/>
  <c r="I204" i="1"/>
  <c r="J204" i="1" s="1"/>
  <c r="P204" i="1" s="1"/>
  <c r="V183" i="1" l="1"/>
  <c r="U183" i="1"/>
  <c r="X183" i="1"/>
  <c r="AC183" i="1"/>
  <c r="AD183" i="1"/>
  <c r="Y183" i="1"/>
  <c r="W204" i="1"/>
  <c r="E205" i="1"/>
  <c r="K184" i="1" l="1"/>
  <c r="AB183" i="1"/>
  <c r="H205" i="1"/>
  <c r="G205" i="1" s="1"/>
  <c r="M184" i="1" l="1"/>
  <c r="O184" i="1" s="1"/>
  <c r="I205" i="1"/>
  <c r="J205" i="1" s="1"/>
  <c r="P205" i="1" s="1"/>
  <c r="N216" i="1"/>
  <c r="AF184" i="1" l="1"/>
  <c r="AE184" i="1"/>
  <c r="T196" i="1"/>
  <c r="R184" i="1"/>
  <c r="S184" i="1"/>
  <c r="W205" i="1"/>
  <c r="E206" i="1"/>
  <c r="V184" i="1" l="1"/>
  <c r="Y184" i="1"/>
  <c r="U184" i="1"/>
  <c r="X184" i="1"/>
  <c r="AD184" i="1"/>
  <c r="AC184" i="1"/>
  <c r="H206" i="1"/>
  <c r="G206" i="1" s="1"/>
  <c r="AB184" i="1" l="1"/>
  <c r="K185" i="1"/>
  <c r="M185" i="1"/>
  <c r="N217" i="1"/>
  <c r="I206" i="1"/>
  <c r="J206" i="1" s="1"/>
  <c r="P206" i="1" s="1"/>
  <c r="AF185" i="1" l="1"/>
  <c r="AE185" i="1"/>
  <c r="T197" i="1"/>
  <c r="R185" i="1"/>
  <c r="S185" i="1"/>
  <c r="O185" i="1"/>
  <c r="W206" i="1"/>
  <c r="E207" i="1"/>
  <c r="V185" i="1" l="1"/>
  <c r="U185" i="1"/>
  <c r="Y185" i="1"/>
  <c r="X185" i="1"/>
  <c r="AC185" i="1"/>
  <c r="AD185" i="1"/>
  <c r="H207" i="1"/>
  <c r="G207" i="1" s="1"/>
  <c r="K186" i="1" l="1"/>
  <c r="AB185" i="1"/>
  <c r="N218" i="1"/>
  <c r="I207" i="1"/>
  <c r="J207" i="1" s="1"/>
  <c r="P207" i="1" s="1"/>
  <c r="M186" i="1" l="1"/>
  <c r="W207" i="1"/>
  <c r="E208" i="1"/>
  <c r="O186" i="1" l="1"/>
  <c r="S186" i="1"/>
  <c r="AF186" i="1"/>
  <c r="AE186" i="1"/>
  <c r="T198" i="1"/>
  <c r="R186" i="1"/>
  <c r="H208" i="1"/>
  <c r="G208" i="1" s="1"/>
  <c r="AD186" i="1" l="1"/>
  <c r="AC186" i="1"/>
  <c r="X186" i="1"/>
  <c r="V186" i="1"/>
  <c r="Y186" i="1"/>
  <c r="U186" i="1"/>
  <c r="N219" i="1"/>
  <c r="I208" i="1"/>
  <c r="J208" i="1" s="1"/>
  <c r="P208" i="1" s="1"/>
  <c r="AB186" i="1" l="1"/>
  <c r="K187" i="1"/>
  <c r="W208" i="1"/>
  <c r="E209" i="1"/>
  <c r="M187" i="1" l="1"/>
  <c r="H209" i="1"/>
  <c r="G209" i="1" s="1"/>
  <c r="AE187" i="1" l="1"/>
  <c r="AF187" i="1"/>
  <c r="T199" i="1"/>
  <c r="S187" i="1"/>
  <c r="R187" i="1"/>
  <c r="O187" i="1"/>
  <c r="I209" i="1"/>
  <c r="J209" i="1" s="1"/>
  <c r="P209" i="1" s="1"/>
  <c r="N220" i="1"/>
  <c r="V187" i="1" l="1"/>
  <c r="AD187" i="1"/>
  <c r="AC187" i="1"/>
  <c r="X187" i="1"/>
  <c r="U187" i="1"/>
  <c r="Y187" i="1"/>
  <c r="W209" i="1"/>
  <c r="E210" i="1"/>
  <c r="AB187" i="1" l="1"/>
  <c r="K188" i="1"/>
  <c r="M188" i="1"/>
  <c r="H210" i="1"/>
  <c r="G210" i="1" s="1"/>
  <c r="AF188" i="1" l="1"/>
  <c r="AE188" i="1"/>
  <c r="T200" i="1"/>
  <c r="R188" i="1"/>
  <c r="O188" i="1"/>
  <c r="S188" i="1"/>
  <c r="I210" i="1"/>
  <c r="J210" i="1" s="1"/>
  <c r="P210" i="1" s="1"/>
  <c r="N221" i="1"/>
  <c r="X188" i="1" l="1"/>
  <c r="AD188" i="1"/>
  <c r="AC188" i="1"/>
  <c r="Y188" i="1"/>
  <c r="U188" i="1"/>
  <c r="V188" i="1"/>
  <c r="W210" i="1"/>
  <c r="E211" i="1"/>
  <c r="AB188" i="1" l="1"/>
  <c r="K189" i="1"/>
  <c r="H211" i="1"/>
  <c r="G211" i="1" s="1"/>
  <c r="M189" i="1" l="1"/>
  <c r="N222" i="1"/>
  <c r="I211" i="1"/>
  <c r="J211" i="1" s="1"/>
  <c r="P211" i="1" s="1"/>
  <c r="AF189" i="1" l="1"/>
  <c r="AE189" i="1"/>
  <c r="T201" i="1"/>
  <c r="R189" i="1"/>
  <c r="O189" i="1"/>
  <c r="S189" i="1"/>
  <c r="W211" i="1"/>
  <c r="E212" i="1"/>
  <c r="X189" i="1" l="1"/>
  <c r="AC189" i="1"/>
  <c r="AD189" i="1"/>
  <c r="Y189" i="1"/>
  <c r="U189" i="1"/>
  <c r="V189" i="1"/>
  <c r="H212" i="1"/>
  <c r="G212" i="1" s="1"/>
  <c r="AB189" i="1" l="1"/>
  <c r="K190" i="1"/>
  <c r="N223" i="1"/>
  <c r="I212" i="1"/>
  <c r="J212" i="1" s="1"/>
  <c r="P212" i="1" s="1"/>
  <c r="M190" i="1" l="1"/>
  <c r="W212" i="1"/>
  <c r="E213" i="1"/>
  <c r="AF190" i="1" l="1"/>
  <c r="AE190" i="1"/>
  <c r="T202" i="1"/>
  <c r="R190" i="1"/>
  <c r="S190" i="1"/>
  <c r="O190" i="1"/>
  <c r="H213" i="1"/>
  <c r="G213" i="1" s="1"/>
  <c r="V190" i="1" l="1"/>
  <c r="U190" i="1"/>
  <c r="X190" i="1"/>
  <c r="AC190" i="1"/>
  <c r="AD190" i="1"/>
  <c r="Y190" i="1"/>
  <c r="N224" i="1"/>
  <c r="I213" i="1"/>
  <c r="J213" i="1" s="1"/>
  <c r="P213" i="1" s="1"/>
  <c r="AB190" i="1" l="1"/>
  <c r="K191" i="1"/>
  <c r="W213" i="1"/>
  <c r="E214" i="1"/>
  <c r="M191" i="1" l="1"/>
  <c r="H214" i="1"/>
  <c r="G214" i="1" s="1"/>
  <c r="O191" i="1" l="1"/>
  <c r="S191" i="1"/>
  <c r="X191" i="1" s="1"/>
  <c r="AC191" i="1"/>
  <c r="AE191" i="1"/>
  <c r="AF191" i="1"/>
  <c r="T203" i="1"/>
  <c r="R191" i="1"/>
  <c r="AD191" i="1" s="1"/>
  <c r="N225" i="1"/>
  <c r="I214" i="1"/>
  <c r="J214" i="1" s="1"/>
  <c r="P214" i="1" s="1"/>
  <c r="Y191" i="1" l="1"/>
  <c r="V191" i="1"/>
  <c r="U191" i="1"/>
  <c r="W214" i="1"/>
  <c r="E215" i="1"/>
  <c r="AB191" i="1" l="1"/>
  <c r="K192" i="1"/>
  <c r="H215" i="1"/>
  <c r="G215" i="1" s="1"/>
  <c r="M192" i="1" l="1"/>
  <c r="N226" i="1"/>
  <c r="I215" i="1"/>
  <c r="J215" i="1" s="1"/>
  <c r="P215" i="1" s="1"/>
  <c r="AF192" i="1" l="1"/>
  <c r="AE192" i="1"/>
  <c r="T204" i="1"/>
  <c r="R192" i="1"/>
  <c r="O192" i="1"/>
  <c r="S192" i="1"/>
  <c r="W215" i="1"/>
  <c r="E216" i="1"/>
  <c r="V192" i="1" l="1"/>
  <c r="X192" i="1"/>
  <c r="AD192" i="1"/>
  <c r="AC192" i="1"/>
  <c r="U192" i="1"/>
  <c r="Y192" i="1"/>
  <c r="H216" i="1"/>
  <c r="G216" i="1" s="1"/>
  <c r="K193" i="1" l="1"/>
  <c r="M193" i="1" s="1"/>
  <c r="AB192" i="1"/>
  <c r="N227" i="1"/>
  <c r="I216" i="1"/>
  <c r="J216" i="1" s="1"/>
  <c r="P216" i="1" s="1"/>
  <c r="O193" i="1" l="1"/>
  <c r="S193" i="1"/>
  <c r="AF193" i="1"/>
  <c r="AE193" i="1"/>
  <c r="T205" i="1"/>
  <c r="R193" i="1"/>
  <c r="W216" i="1"/>
  <c r="E217" i="1"/>
  <c r="AD193" i="1" l="1"/>
  <c r="AC193" i="1"/>
  <c r="X193" i="1"/>
  <c r="Y193" i="1"/>
  <c r="V193" i="1"/>
  <c r="U193" i="1"/>
  <c r="H217" i="1"/>
  <c r="G217" i="1" s="1"/>
  <c r="K194" i="1" l="1"/>
  <c r="AB193" i="1"/>
  <c r="I217" i="1"/>
  <c r="J217" i="1" s="1"/>
  <c r="P217" i="1" s="1"/>
  <c r="N228" i="1"/>
  <c r="M194" i="1" l="1"/>
  <c r="W217" i="1"/>
  <c r="E218" i="1"/>
  <c r="AF194" i="1" l="1"/>
  <c r="AE194" i="1"/>
  <c r="T206" i="1"/>
  <c r="R194" i="1"/>
  <c r="S194" i="1"/>
  <c r="O194" i="1"/>
  <c r="H218" i="1"/>
  <c r="G218" i="1" s="1"/>
  <c r="V194" i="1" l="1"/>
  <c r="Y194" i="1"/>
  <c r="X194" i="1"/>
  <c r="AD194" i="1"/>
  <c r="AC194" i="1"/>
  <c r="U194" i="1"/>
  <c r="I218" i="1"/>
  <c r="J218" i="1" s="1"/>
  <c r="P218" i="1" s="1"/>
  <c r="N229" i="1"/>
  <c r="AB194" i="1" l="1"/>
  <c r="K195" i="1"/>
  <c r="M195" i="1" s="1"/>
  <c r="W218" i="1"/>
  <c r="E219" i="1"/>
  <c r="AE195" i="1" l="1"/>
  <c r="AF195" i="1"/>
  <c r="T207" i="1"/>
  <c r="R195" i="1"/>
  <c r="O195" i="1"/>
  <c r="S195" i="1"/>
  <c r="H219" i="1"/>
  <c r="G219" i="1" s="1"/>
  <c r="V195" i="1" l="1"/>
  <c r="U195" i="1"/>
  <c r="X195" i="1"/>
  <c r="AC195" i="1"/>
  <c r="AD195" i="1"/>
  <c r="Y195" i="1"/>
  <c r="I219" i="1"/>
  <c r="J219" i="1" s="1"/>
  <c r="P219" i="1" s="1"/>
  <c r="N230" i="1"/>
  <c r="AB195" i="1" l="1"/>
  <c r="K196" i="1"/>
  <c r="W219" i="1"/>
  <c r="E220" i="1"/>
  <c r="M196" i="1" l="1"/>
  <c r="H220" i="1"/>
  <c r="G220" i="1" s="1"/>
  <c r="S196" i="1" l="1"/>
  <c r="X196" i="1" s="1"/>
  <c r="O196" i="1"/>
  <c r="AC196" i="1"/>
  <c r="AF196" i="1"/>
  <c r="AE196" i="1"/>
  <c r="T208" i="1"/>
  <c r="R196" i="1"/>
  <c r="N231" i="1"/>
  <c r="I220" i="1"/>
  <c r="J220" i="1" s="1"/>
  <c r="P220" i="1" s="1"/>
  <c r="AD196" i="1" l="1"/>
  <c r="V196" i="1"/>
  <c r="Y196" i="1"/>
  <c r="U196" i="1"/>
  <c r="W220" i="1"/>
  <c r="E221" i="1"/>
  <c r="K197" i="1" l="1"/>
  <c r="AB196" i="1"/>
  <c r="H221" i="1"/>
  <c r="G221" i="1" s="1"/>
  <c r="M197" i="1" l="1"/>
  <c r="I221" i="1"/>
  <c r="J221" i="1" s="1"/>
  <c r="P221" i="1" s="1"/>
  <c r="N232" i="1"/>
  <c r="AE197" i="1" l="1"/>
  <c r="AF197" i="1"/>
  <c r="T209" i="1"/>
  <c r="R197" i="1"/>
  <c r="O197" i="1"/>
  <c r="S197" i="1"/>
  <c r="W221" i="1"/>
  <c r="E222" i="1"/>
  <c r="V197" i="1" l="1"/>
  <c r="U197" i="1"/>
  <c r="X197" i="1"/>
  <c r="AC197" i="1"/>
  <c r="AD197" i="1"/>
  <c r="Y197" i="1"/>
  <c r="H222" i="1"/>
  <c r="G222" i="1" s="1"/>
  <c r="K198" i="1" l="1"/>
  <c r="AB197" i="1"/>
  <c r="I222" i="1"/>
  <c r="J222" i="1" s="1"/>
  <c r="P222" i="1" s="1"/>
  <c r="N233" i="1"/>
  <c r="M198" i="1" l="1"/>
  <c r="W222" i="1"/>
  <c r="E223" i="1"/>
  <c r="AF198" i="1" l="1"/>
  <c r="AE198" i="1"/>
  <c r="T210" i="1"/>
  <c r="R198" i="1"/>
  <c r="S198" i="1"/>
  <c r="O198" i="1"/>
  <c r="H223" i="1"/>
  <c r="G223" i="1" s="1"/>
  <c r="X198" i="1" l="1"/>
  <c r="AD198" i="1"/>
  <c r="AC198" i="1"/>
  <c r="Y198" i="1"/>
  <c r="U198" i="1"/>
  <c r="V198" i="1"/>
  <c r="N234" i="1"/>
  <c r="I223" i="1"/>
  <c r="J223" i="1" s="1"/>
  <c r="P223" i="1" s="1"/>
  <c r="K199" i="1" l="1"/>
  <c r="AB198" i="1"/>
  <c r="W223" i="1"/>
  <c r="E224" i="1"/>
  <c r="M199" i="1" l="1"/>
  <c r="H224" i="1"/>
  <c r="G224" i="1" s="1"/>
  <c r="AE199" i="1" l="1"/>
  <c r="AF199" i="1"/>
  <c r="T211" i="1"/>
  <c r="R199" i="1"/>
  <c r="O199" i="1"/>
  <c r="S199" i="1"/>
  <c r="I224" i="1"/>
  <c r="J224" i="1" s="1"/>
  <c r="P224" i="1" s="1"/>
  <c r="N235" i="1"/>
  <c r="Y199" i="1" l="1"/>
  <c r="V199" i="1"/>
  <c r="U199" i="1"/>
  <c r="X199" i="1"/>
  <c r="AC199" i="1"/>
  <c r="AD199" i="1"/>
  <c r="W224" i="1"/>
  <c r="E225" i="1"/>
  <c r="K200" i="1" l="1"/>
  <c r="M200" i="1" s="1"/>
  <c r="AB199" i="1"/>
  <c r="H225" i="1"/>
  <c r="G225" i="1" s="1"/>
  <c r="AF200" i="1" l="1"/>
  <c r="AE200" i="1"/>
  <c r="T212" i="1"/>
  <c r="R200" i="1"/>
  <c r="S200" i="1"/>
  <c r="O200" i="1"/>
  <c r="N236" i="1"/>
  <c r="I225" i="1"/>
  <c r="J225" i="1" s="1"/>
  <c r="P225" i="1" s="1"/>
  <c r="V200" i="1" l="1"/>
  <c r="Y200" i="1"/>
  <c r="X200" i="1"/>
  <c r="AC200" i="1"/>
  <c r="AD200" i="1"/>
  <c r="U200" i="1"/>
  <c r="W225" i="1"/>
  <c r="E226" i="1"/>
  <c r="AB200" i="1" l="1"/>
  <c r="K201" i="1"/>
  <c r="M201" i="1" s="1"/>
  <c r="H226" i="1"/>
  <c r="G226" i="1" s="1"/>
  <c r="O201" i="1" l="1"/>
  <c r="R201" i="1"/>
  <c r="S201" i="1"/>
  <c r="AF201" i="1"/>
  <c r="AE201" i="1"/>
  <c r="T213" i="1"/>
  <c r="I226" i="1"/>
  <c r="J226" i="1" s="1"/>
  <c r="P226" i="1" s="1"/>
  <c r="N237" i="1"/>
  <c r="Y201" i="1" l="1"/>
  <c r="AC201" i="1"/>
  <c r="AD201" i="1"/>
  <c r="X201" i="1"/>
  <c r="U201" i="1"/>
  <c r="V201" i="1"/>
  <c r="W226" i="1"/>
  <c r="E227" i="1"/>
  <c r="K202" i="1" l="1"/>
  <c r="M202" i="1" s="1"/>
  <c r="AB201" i="1"/>
  <c r="H227" i="1"/>
  <c r="G227" i="1" s="1"/>
  <c r="AE202" i="1" l="1"/>
  <c r="T214" i="1"/>
  <c r="AF202" i="1"/>
  <c r="R202" i="1"/>
  <c r="S202" i="1"/>
  <c r="O202" i="1"/>
  <c r="I227" i="1"/>
  <c r="J227" i="1" s="1"/>
  <c r="P227" i="1" s="1"/>
  <c r="N238" i="1"/>
  <c r="V202" i="1" l="1"/>
  <c r="Y202" i="1"/>
  <c r="X202" i="1"/>
  <c r="AD202" i="1"/>
  <c r="AC202" i="1"/>
  <c r="U202" i="1"/>
  <c r="W227" i="1"/>
  <c r="E228" i="1"/>
  <c r="K203" i="1" l="1"/>
  <c r="M203" i="1" s="1"/>
  <c r="AB202" i="1"/>
  <c r="H228" i="1"/>
  <c r="G228" i="1" s="1"/>
  <c r="AF203" i="1" l="1"/>
  <c r="T215" i="1"/>
  <c r="AE203" i="1"/>
  <c r="R203" i="1"/>
  <c r="O203" i="1"/>
  <c r="S203" i="1"/>
  <c r="I228" i="1"/>
  <c r="J228" i="1" s="1"/>
  <c r="P228" i="1" s="1"/>
  <c r="N239" i="1"/>
  <c r="U203" i="1" l="1"/>
  <c r="V203" i="1"/>
  <c r="X203" i="1"/>
  <c r="AC203" i="1"/>
  <c r="AD203" i="1"/>
  <c r="Y203" i="1"/>
  <c r="W228" i="1"/>
  <c r="E229" i="1"/>
  <c r="K204" i="1" l="1"/>
  <c r="AB203" i="1"/>
  <c r="H229" i="1"/>
  <c r="G229" i="1" s="1"/>
  <c r="M204" i="1" l="1"/>
  <c r="I229" i="1"/>
  <c r="J229" i="1" s="1"/>
  <c r="P229" i="1" s="1"/>
  <c r="N240" i="1"/>
  <c r="S204" i="1" l="1"/>
  <c r="O204" i="1"/>
  <c r="AF204" i="1"/>
  <c r="T216" i="1"/>
  <c r="AE204" i="1"/>
  <c r="R204" i="1"/>
  <c r="W229" i="1"/>
  <c r="E230" i="1"/>
  <c r="X204" i="1" l="1"/>
  <c r="AC204" i="1"/>
  <c r="AD204" i="1"/>
  <c r="Y204" i="1"/>
  <c r="V204" i="1"/>
  <c r="U204" i="1"/>
  <c r="H230" i="1"/>
  <c r="G230" i="1" s="1"/>
  <c r="AB204" i="1" l="1"/>
  <c r="K205" i="1"/>
  <c r="I230" i="1"/>
  <c r="J230" i="1" s="1"/>
  <c r="P230" i="1" s="1"/>
  <c r="N241" i="1"/>
  <c r="M205" i="1" l="1"/>
  <c r="W230" i="1"/>
  <c r="E231" i="1"/>
  <c r="S205" i="1" l="1"/>
  <c r="O205" i="1"/>
  <c r="AE205" i="1"/>
  <c r="AF205" i="1"/>
  <c r="T217" i="1"/>
  <c r="R205" i="1"/>
  <c r="AD205" i="1" s="1"/>
  <c r="H231" i="1"/>
  <c r="G231" i="1" s="1"/>
  <c r="AC205" i="1" l="1"/>
  <c r="X205" i="1"/>
  <c r="V205" i="1"/>
  <c r="Y205" i="1"/>
  <c r="U205" i="1"/>
  <c r="I231" i="1"/>
  <c r="J231" i="1" s="1"/>
  <c r="P231" i="1" s="1"/>
  <c r="N242" i="1"/>
  <c r="AB205" i="1" l="1"/>
  <c r="K206" i="1"/>
  <c r="W231" i="1"/>
  <c r="E232" i="1"/>
  <c r="M206" i="1" l="1"/>
  <c r="H232" i="1"/>
  <c r="G232" i="1" s="1"/>
  <c r="O206" i="1" l="1"/>
  <c r="S206" i="1"/>
  <c r="AC206" i="1"/>
  <c r="X206" i="1"/>
  <c r="AF206" i="1"/>
  <c r="AE206" i="1"/>
  <c r="T218" i="1"/>
  <c r="R206" i="1"/>
  <c r="AD206" i="1" s="1"/>
  <c r="I232" i="1"/>
  <c r="J232" i="1" s="1"/>
  <c r="P232" i="1" s="1"/>
  <c r="N243" i="1"/>
  <c r="Y206" i="1" l="1"/>
  <c r="V206" i="1"/>
  <c r="U206" i="1"/>
  <c r="W232" i="1"/>
  <c r="E233" i="1"/>
  <c r="AB206" i="1" l="1"/>
  <c r="K207" i="1"/>
  <c r="H233" i="1"/>
  <c r="G233" i="1" s="1"/>
  <c r="M207" i="1" l="1"/>
  <c r="N244" i="1"/>
  <c r="I233" i="1"/>
  <c r="J233" i="1" s="1"/>
  <c r="P233" i="1" s="1"/>
  <c r="AE207" i="1" l="1"/>
  <c r="T219" i="1"/>
  <c r="AF207" i="1"/>
  <c r="O207" i="1"/>
  <c r="R207" i="1"/>
  <c r="S207" i="1"/>
  <c r="W233" i="1"/>
  <c r="E234" i="1"/>
  <c r="Y207" i="1" l="1"/>
  <c r="X207" i="1"/>
  <c r="AC207" i="1"/>
  <c r="AD207" i="1"/>
  <c r="U207" i="1"/>
  <c r="V207" i="1"/>
  <c r="H234" i="1"/>
  <c r="G234" i="1" s="1"/>
  <c r="K208" i="1" l="1"/>
  <c r="AB207" i="1"/>
  <c r="N245" i="1"/>
  <c r="I234" i="1"/>
  <c r="J234" i="1" s="1"/>
  <c r="P234" i="1" s="1"/>
  <c r="M208" i="1" l="1"/>
  <c r="W234" i="1"/>
  <c r="E235" i="1"/>
  <c r="AF208" i="1" l="1"/>
  <c r="AE208" i="1"/>
  <c r="T220" i="1"/>
  <c r="R208" i="1"/>
  <c r="O208" i="1"/>
  <c r="S208" i="1"/>
  <c r="H235" i="1"/>
  <c r="G235" i="1" s="1"/>
  <c r="X208" i="1" l="1"/>
  <c r="AC208" i="1"/>
  <c r="AD208" i="1"/>
  <c r="Y208" i="1"/>
  <c r="U208" i="1"/>
  <c r="V208" i="1"/>
  <c r="I235" i="1"/>
  <c r="J235" i="1" s="1"/>
  <c r="P235" i="1" s="1"/>
  <c r="N246" i="1"/>
  <c r="AB208" i="1" l="1"/>
  <c r="K209" i="1"/>
  <c r="W235" i="1"/>
  <c r="E236" i="1"/>
  <c r="M209" i="1" l="1"/>
  <c r="H236" i="1"/>
  <c r="G236" i="1" s="1"/>
  <c r="AF209" i="1" l="1"/>
  <c r="AE209" i="1"/>
  <c r="T221" i="1"/>
  <c r="R209" i="1"/>
  <c r="S209" i="1"/>
  <c r="O209" i="1"/>
  <c r="I236" i="1"/>
  <c r="J236" i="1" s="1"/>
  <c r="P236" i="1" s="1"/>
  <c r="N247" i="1"/>
  <c r="V209" i="1" l="1"/>
  <c r="X209" i="1"/>
  <c r="AD209" i="1"/>
  <c r="AC209" i="1"/>
  <c r="U209" i="1"/>
  <c r="Y209" i="1"/>
  <c r="W236" i="1"/>
  <c r="E237" i="1"/>
  <c r="AB209" i="1" l="1"/>
  <c r="K210" i="1"/>
  <c r="M210" i="1" s="1"/>
  <c r="H237" i="1"/>
  <c r="G237" i="1" s="1"/>
  <c r="O210" i="1" l="1"/>
  <c r="S210" i="1"/>
  <c r="AE210" i="1"/>
  <c r="AF210" i="1"/>
  <c r="T222" i="1"/>
  <c r="R210" i="1"/>
  <c r="I237" i="1"/>
  <c r="J237" i="1" s="1"/>
  <c r="P237" i="1" s="1"/>
  <c r="N248" i="1"/>
  <c r="AD210" i="1" l="1"/>
  <c r="AC210" i="1"/>
  <c r="X210" i="1"/>
  <c r="V210" i="1"/>
  <c r="Y210" i="1"/>
  <c r="U210" i="1"/>
  <c r="W237" i="1"/>
  <c r="E238" i="1"/>
  <c r="AB210" i="1" l="1"/>
  <c r="K211" i="1"/>
  <c r="H238" i="1"/>
  <c r="G238" i="1" s="1"/>
  <c r="M211" i="1" l="1"/>
  <c r="N249" i="1"/>
  <c r="I238" i="1"/>
  <c r="J238" i="1" s="1"/>
  <c r="P238" i="1" s="1"/>
  <c r="AE211" i="1" l="1"/>
  <c r="T223" i="1"/>
  <c r="AF211" i="1"/>
  <c r="R211" i="1"/>
  <c r="O211" i="1"/>
  <c r="S211" i="1"/>
  <c r="W238" i="1"/>
  <c r="E239" i="1"/>
  <c r="X211" i="1" l="1"/>
  <c r="AD211" i="1"/>
  <c r="AC211" i="1"/>
  <c r="Y211" i="1"/>
  <c r="U211" i="1"/>
  <c r="V211" i="1"/>
  <c r="H239" i="1"/>
  <c r="G239" i="1" s="1"/>
  <c r="AB211" i="1" l="1"/>
  <c r="K212" i="1"/>
  <c r="I239" i="1"/>
  <c r="J239" i="1" s="1"/>
  <c r="P239" i="1" s="1"/>
  <c r="N250" i="1"/>
  <c r="M212" i="1" l="1"/>
  <c r="W239" i="1"/>
  <c r="E240" i="1"/>
  <c r="R212" i="1" l="1"/>
  <c r="S212" i="1"/>
  <c r="O212" i="1"/>
  <c r="AE212" i="1"/>
  <c r="AF212" i="1"/>
  <c r="T224" i="1"/>
  <c r="H240" i="1"/>
  <c r="G240" i="1" s="1"/>
  <c r="AC212" i="1" l="1"/>
  <c r="X212" i="1"/>
  <c r="AD212" i="1"/>
  <c r="Y212" i="1"/>
  <c r="V212" i="1"/>
  <c r="U212" i="1"/>
  <c r="I240" i="1"/>
  <c r="J240" i="1" s="1"/>
  <c r="P240" i="1" s="1"/>
  <c r="N251" i="1"/>
  <c r="K213" i="1" l="1"/>
  <c r="M213" i="1" s="1"/>
  <c r="S213" i="1" s="1"/>
  <c r="AB212" i="1"/>
  <c r="W240" i="1"/>
  <c r="E241" i="1"/>
  <c r="R213" i="1" l="1"/>
  <c r="O213" i="1"/>
  <c r="AD213" i="1"/>
  <c r="X213" i="1"/>
  <c r="AC213" i="1"/>
  <c r="AF213" i="1"/>
  <c r="T225" i="1"/>
  <c r="AE213" i="1"/>
  <c r="H241" i="1"/>
  <c r="G241" i="1" s="1"/>
  <c r="Y213" i="1" l="1"/>
  <c r="V213" i="1"/>
  <c r="U213" i="1"/>
  <c r="AB213" i="1"/>
  <c r="K214" i="1"/>
  <c r="N252" i="1"/>
  <c r="I241" i="1"/>
  <c r="J241" i="1" s="1"/>
  <c r="P241" i="1" s="1"/>
  <c r="M214" i="1" l="1"/>
  <c r="W241" i="1"/>
  <c r="E242" i="1"/>
  <c r="O214" i="1" l="1"/>
  <c r="S214" i="1"/>
  <c r="AF214" i="1"/>
  <c r="AE214" i="1"/>
  <c r="T226" i="1"/>
  <c r="R214" i="1"/>
  <c r="H242" i="1"/>
  <c r="G242" i="1" s="1"/>
  <c r="AC214" i="1" l="1"/>
  <c r="X214" i="1"/>
  <c r="AD214" i="1"/>
  <c r="U214" i="1"/>
  <c r="V214" i="1"/>
  <c r="Y214" i="1"/>
  <c r="N253" i="1"/>
  <c r="I242" i="1"/>
  <c r="J242" i="1" s="1"/>
  <c r="P242" i="1" s="1"/>
  <c r="K215" i="1" l="1"/>
  <c r="AB214" i="1"/>
  <c r="W242" i="1"/>
  <c r="E243" i="1"/>
  <c r="M215" i="1" l="1"/>
  <c r="H243" i="1"/>
  <c r="G243" i="1" s="1"/>
  <c r="S215" i="1" l="1"/>
  <c r="AE215" i="1"/>
  <c r="AF215" i="1"/>
  <c r="T227" i="1"/>
  <c r="R215" i="1"/>
  <c r="O215" i="1"/>
  <c r="I243" i="1"/>
  <c r="J243" i="1" s="1"/>
  <c r="P243" i="1" s="1"/>
  <c r="N254" i="1"/>
  <c r="Y215" i="1" l="1"/>
  <c r="AD215" i="1"/>
  <c r="AC215" i="1"/>
  <c r="X215" i="1"/>
  <c r="U215" i="1"/>
  <c r="V215" i="1"/>
  <c r="W243" i="1"/>
  <c r="E244" i="1"/>
  <c r="AB215" i="1" l="1"/>
  <c r="K216" i="1"/>
  <c r="H244" i="1"/>
  <c r="G244" i="1" s="1"/>
  <c r="M216" i="1" l="1"/>
  <c r="N255" i="1"/>
  <c r="I244" i="1"/>
  <c r="J244" i="1" s="1"/>
  <c r="P244" i="1" s="1"/>
  <c r="S216" i="1" l="1"/>
  <c r="O216" i="1"/>
  <c r="AE216" i="1"/>
  <c r="AF216" i="1"/>
  <c r="T228" i="1"/>
  <c r="R216" i="1"/>
  <c r="W244" i="1"/>
  <c r="E245" i="1"/>
  <c r="AD216" i="1" l="1"/>
  <c r="AC216" i="1"/>
  <c r="X216" i="1"/>
  <c r="U216" i="1"/>
  <c r="V216" i="1"/>
  <c r="Y216" i="1"/>
  <c r="H245" i="1"/>
  <c r="G245" i="1" s="1"/>
  <c r="K217" i="1" l="1"/>
  <c r="AB216" i="1"/>
  <c r="I245" i="1"/>
  <c r="J245" i="1" s="1"/>
  <c r="P245" i="1" s="1"/>
  <c r="N256" i="1"/>
  <c r="M217" i="1" l="1"/>
  <c r="O217" i="1"/>
  <c r="W245" i="1"/>
  <c r="E246" i="1"/>
  <c r="S217" i="1" l="1"/>
  <c r="R217" i="1"/>
  <c r="T229" i="1"/>
  <c r="AF217" i="1"/>
  <c r="AE217" i="1"/>
  <c r="H246" i="1"/>
  <c r="G246" i="1" s="1"/>
  <c r="X217" i="1" l="1"/>
  <c r="V217" i="1"/>
  <c r="AB217" i="1" s="1"/>
  <c r="Y217" i="1"/>
  <c r="U217" i="1"/>
  <c r="AD217" i="1"/>
  <c r="AC217" i="1"/>
  <c r="K218" i="1"/>
  <c r="M218" i="1" s="1"/>
  <c r="R218" i="1" s="1"/>
  <c r="N257" i="1"/>
  <c r="I246" i="1"/>
  <c r="J246" i="1" s="1"/>
  <c r="P246" i="1" s="1"/>
  <c r="O218" i="1" l="1"/>
  <c r="S218" i="1"/>
  <c r="X218" i="1" s="1"/>
  <c r="T230" i="1"/>
  <c r="AF218" i="1"/>
  <c r="AE218" i="1"/>
  <c r="W246" i="1"/>
  <c r="E247" i="1"/>
  <c r="AD218" i="1" l="1"/>
  <c r="AC218" i="1"/>
  <c r="U218" i="1"/>
  <c r="V218" i="1"/>
  <c r="Y218" i="1"/>
  <c r="H247" i="1"/>
  <c r="G247" i="1" s="1"/>
  <c r="K219" i="1" l="1"/>
  <c r="AB218" i="1"/>
  <c r="N258" i="1"/>
  <c r="I247" i="1"/>
  <c r="J247" i="1" s="1"/>
  <c r="P247" i="1" s="1"/>
  <c r="M219" i="1" l="1"/>
  <c r="W247" i="1"/>
  <c r="E248" i="1"/>
  <c r="R219" i="1" l="1"/>
  <c r="O219" i="1"/>
  <c r="S219" i="1"/>
  <c r="T231" i="1"/>
  <c r="AE219" i="1"/>
  <c r="AF219" i="1"/>
  <c r="H248" i="1"/>
  <c r="G248" i="1" s="1"/>
  <c r="Y219" i="1" l="1"/>
  <c r="X219" i="1"/>
  <c r="AD219" i="1"/>
  <c r="AC219" i="1"/>
  <c r="U219" i="1"/>
  <c r="V219" i="1"/>
  <c r="I248" i="1"/>
  <c r="J248" i="1" s="1"/>
  <c r="P248" i="1" s="1"/>
  <c r="N259" i="1"/>
  <c r="AB219" i="1" l="1"/>
  <c r="K220" i="1"/>
  <c r="W248" i="1"/>
  <c r="E249" i="1"/>
  <c r="M220" i="1" l="1"/>
  <c r="R220" i="1" s="1"/>
  <c r="H249" i="1"/>
  <c r="G249" i="1" s="1"/>
  <c r="S220" i="1" l="1"/>
  <c r="T232" i="1"/>
  <c r="AE220" i="1"/>
  <c r="AF220" i="1"/>
  <c r="O220" i="1"/>
  <c r="N260" i="1"/>
  <c r="I249" i="1"/>
  <c r="J249" i="1" s="1"/>
  <c r="P249" i="1" s="1"/>
  <c r="X220" i="1" l="1"/>
  <c r="AC220" i="1"/>
  <c r="AD220" i="1"/>
  <c r="U220" i="1"/>
  <c r="V220" i="1"/>
  <c r="Y220" i="1"/>
  <c r="W249" i="1"/>
  <c r="E250" i="1"/>
  <c r="K221" i="1" l="1"/>
  <c r="AB220" i="1"/>
  <c r="H250" i="1"/>
  <c r="G250" i="1" s="1"/>
  <c r="M221" i="1" l="1"/>
  <c r="R221" i="1" s="1"/>
  <c r="I250" i="1"/>
  <c r="J250" i="1" s="1"/>
  <c r="P250" i="1" s="1"/>
  <c r="N261" i="1"/>
  <c r="O221" i="1" l="1"/>
  <c r="S221" i="1"/>
  <c r="T233" i="1"/>
  <c r="AE221" i="1"/>
  <c r="AF221" i="1"/>
  <c r="W250" i="1"/>
  <c r="E251" i="1"/>
  <c r="X221" i="1" l="1"/>
  <c r="AD221" i="1"/>
  <c r="AC221" i="1"/>
  <c r="U221" i="1"/>
  <c r="Y221" i="1"/>
  <c r="V221" i="1"/>
  <c r="H251" i="1"/>
  <c r="G251" i="1" s="1"/>
  <c r="AB221" i="1" l="1"/>
  <c r="K222" i="1"/>
  <c r="I251" i="1"/>
  <c r="J251" i="1" s="1"/>
  <c r="P251" i="1" s="1"/>
  <c r="N262" i="1"/>
  <c r="M222" i="1" l="1"/>
  <c r="R222" i="1" s="1"/>
  <c r="W251" i="1"/>
  <c r="E252" i="1"/>
  <c r="S222" i="1" l="1"/>
  <c r="U222" i="1" s="1"/>
  <c r="T234" i="1"/>
  <c r="AE222" i="1"/>
  <c r="AF222" i="1"/>
  <c r="O222" i="1"/>
  <c r="H252" i="1"/>
  <c r="G252" i="1" s="1"/>
  <c r="Y222" i="1" l="1"/>
  <c r="V222" i="1"/>
  <c r="X222" i="1"/>
  <c r="AD222" i="1"/>
  <c r="AC222" i="1"/>
  <c r="I252" i="1"/>
  <c r="J252" i="1" s="1"/>
  <c r="P252" i="1" s="1"/>
  <c r="N263" i="1"/>
  <c r="AB222" i="1" l="1"/>
  <c r="K223" i="1"/>
  <c r="W252" i="1"/>
  <c r="E253" i="1"/>
  <c r="M223" i="1" l="1"/>
  <c r="O223" i="1" s="1"/>
  <c r="H253" i="1"/>
  <c r="G253" i="1" s="1"/>
  <c r="S223" i="1" l="1"/>
  <c r="R223" i="1"/>
  <c r="T235" i="1"/>
  <c r="AF223" i="1"/>
  <c r="AE223" i="1"/>
  <c r="N264" i="1"/>
  <c r="I253" i="1"/>
  <c r="J253" i="1" s="1"/>
  <c r="P253" i="1" s="1"/>
  <c r="X223" i="1" l="1"/>
  <c r="AD223" i="1"/>
  <c r="AC223" i="1"/>
  <c r="U223" i="1"/>
  <c r="V223" i="1"/>
  <c r="Y223" i="1"/>
  <c r="W253" i="1"/>
  <c r="E254" i="1"/>
  <c r="AB223" i="1" l="1"/>
  <c r="K224" i="1"/>
  <c r="H254" i="1"/>
  <c r="G254" i="1" s="1"/>
  <c r="M224" i="1" l="1"/>
  <c r="R224" i="1" s="1"/>
  <c r="N265" i="1"/>
  <c r="I254" i="1"/>
  <c r="J254" i="1" s="1"/>
  <c r="P254" i="1" s="1"/>
  <c r="O224" i="1" l="1"/>
  <c r="S224" i="1"/>
  <c r="T236" i="1"/>
  <c r="AF224" i="1"/>
  <c r="AE224" i="1"/>
  <c r="W254" i="1"/>
  <c r="E255" i="1"/>
  <c r="AD224" i="1" l="1"/>
  <c r="AC224" i="1"/>
  <c r="Y224" i="1"/>
  <c r="X224" i="1"/>
  <c r="U224" i="1"/>
  <c r="V224" i="1"/>
  <c r="H255" i="1"/>
  <c r="G255" i="1" s="1"/>
  <c r="K225" i="1" l="1"/>
  <c r="AB224" i="1"/>
  <c r="N266" i="1"/>
  <c r="I255" i="1"/>
  <c r="J255" i="1" s="1"/>
  <c r="P255" i="1" s="1"/>
  <c r="M225" i="1" l="1"/>
  <c r="R225" i="1" s="1"/>
  <c r="W255" i="1"/>
  <c r="E256" i="1"/>
  <c r="O225" i="1" l="1"/>
  <c r="S225" i="1"/>
  <c r="T237" i="1"/>
  <c r="AF225" i="1"/>
  <c r="AE225" i="1"/>
  <c r="H256" i="1"/>
  <c r="G256" i="1" s="1"/>
  <c r="X225" i="1" l="1"/>
  <c r="AD225" i="1"/>
  <c r="AC225" i="1"/>
  <c r="U225" i="1"/>
  <c r="V225" i="1"/>
  <c r="Y225" i="1"/>
  <c r="N267" i="1"/>
  <c r="I256" i="1"/>
  <c r="J256" i="1" s="1"/>
  <c r="P256" i="1" s="1"/>
  <c r="K226" i="1" l="1"/>
  <c r="AB225" i="1"/>
  <c r="W256" i="1"/>
  <c r="E257" i="1"/>
  <c r="M226" i="1" l="1"/>
  <c r="R226" i="1" s="1"/>
  <c r="H257" i="1"/>
  <c r="G257" i="1" s="1"/>
  <c r="S226" i="1" l="1"/>
  <c r="O226" i="1"/>
  <c r="T238" i="1"/>
  <c r="AE226" i="1"/>
  <c r="AF226" i="1"/>
  <c r="I257" i="1"/>
  <c r="J257" i="1" s="1"/>
  <c r="P257" i="1" s="1"/>
  <c r="N268" i="1"/>
  <c r="U226" i="1" l="1"/>
  <c r="V226" i="1"/>
  <c r="X226" i="1"/>
  <c r="AC226" i="1"/>
  <c r="AD226" i="1"/>
  <c r="Y226" i="1"/>
  <c r="W257" i="1"/>
  <c r="E258" i="1"/>
  <c r="AB226" i="1" l="1"/>
  <c r="K227" i="1"/>
  <c r="H258" i="1"/>
  <c r="G258" i="1" s="1"/>
  <c r="M227" i="1" l="1"/>
  <c r="R227" i="1" s="1"/>
  <c r="I258" i="1"/>
  <c r="J258" i="1" s="1"/>
  <c r="P258" i="1" s="1"/>
  <c r="N269" i="1"/>
  <c r="S227" i="1" l="1"/>
  <c r="T239" i="1"/>
  <c r="AE227" i="1"/>
  <c r="AF227" i="1"/>
  <c r="O227" i="1"/>
  <c r="W258" i="1"/>
  <c r="E259" i="1"/>
  <c r="U227" i="1" l="1"/>
  <c r="V227" i="1"/>
  <c r="X227" i="1"/>
  <c r="AD227" i="1"/>
  <c r="AC227" i="1"/>
  <c r="Y227" i="1"/>
  <c r="H259" i="1"/>
  <c r="G259" i="1" s="1"/>
  <c r="K228" i="1" l="1"/>
  <c r="AB227" i="1"/>
  <c r="N270" i="1"/>
  <c r="I259" i="1"/>
  <c r="J259" i="1" s="1"/>
  <c r="P259" i="1" s="1"/>
  <c r="M228" i="1" l="1"/>
  <c r="R228" i="1" s="1"/>
  <c r="W259" i="1"/>
  <c r="E260" i="1"/>
  <c r="O228" i="1" l="1"/>
  <c r="S228" i="1"/>
  <c r="T240" i="1"/>
  <c r="AF228" i="1"/>
  <c r="AE228" i="1"/>
  <c r="H260" i="1"/>
  <c r="G260" i="1" s="1"/>
  <c r="X228" i="1" l="1"/>
  <c r="AC228" i="1"/>
  <c r="AD228" i="1"/>
  <c r="U228" i="1"/>
  <c r="V228" i="1"/>
  <c r="Y228" i="1"/>
  <c r="N271" i="1"/>
  <c r="I260" i="1"/>
  <c r="J260" i="1" s="1"/>
  <c r="P260" i="1" s="1"/>
  <c r="K229" i="1" l="1"/>
  <c r="AB228" i="1"/>
  <c r="W260" i="1"/>
  <c r="E261" i="1"/>
  <c r="M229" i="1" l="1"/>
  <c r="R229" i="1" s="1"/>
  <c r="H261" i="1"/>
  <c r="G261" i="1" s="1"/>
  <c r="O229" i="1" l="1"/>
  <c r="S229" i="1"/>
  <c r="T241" i="1"/>
  <c r="AF229" i="1"/>
  <c r="AE229" i="1"/>
  <c r="I261" i="1"/>
  <c r="J261" i="1" s="1"/>
  <c r="P261" i="1" s="1"/>
  <c r="N272" i="1"/>
  <c r="U229" i="1" l="1"/>
  <c r="X229" i="1"/>
  <c r="AD229" i="1"/>
  <c r="AC229" i="1"/>
  <c r="V229" i="1"/>
  <c r="Y229" i="1"/>
  <c r="W261" i="1"/>
  <c r="E262" i="1"/>
  <c r="AB229" i="1" l="1"/>
  <c r="K230" i="1"/>
  <c r="H262" i="1"/>
  <c r="G262" i="1" s="1"/>
  <c r="M230" i="1" l="1"/>
  <c r="S230" i="1" s="1"/>
  <c r="N273" i="1"/>
  <c r="I262" i="1"/>
  <c r="J262" i="1" s="1"/>
  <c r="P262" i="1" s="1"/>
  <c r="O230" i="1" l="1"/>
  <c r="R230" i="1"/>
  <c r="X230" i="1"/>
  <c r="AC230" i="1"/>
  <c r="T242" i="1"/>
  <c r="AE230" i="1"/>
  <c r="AF230" i="1"/>
  <c r="W262" i="1"/>
  <c r="E263" i="1"/>
  <c r="U230" i="1" l="1"/>
  <c r="V230" i="1"/>
  <c r="Y230" i="1"/>
  <c r="AD230" i="1"/>
  <c r="H263" i="1"/>
  <c r="G263" i="1" s="1"/>
  <c r="AB230" i="1" l="1"/>
  <c r="K231" i="1"/>
  <c r="N274" i="1"/>
  <c r="I263" i="1"/>
  <c r="J263" i="1" s="1"/>
  <c r="P263" i="1" s="1"/>
  <c r="M231" i="1" l="1"/>
  <c r="R231" i="1" s="1"/>
  <c r="W263" i="1"/>
  <c r="E264" i="1"/>
  <c r="S231" i="1" l="1"/>
  <c r="T243" i="1"/>
  <c r="AF231" i="1"/>
  <c r="AE231" i="1"/>
  <c r="O231" i="1"/>
  <c r="H264" i="1"/>
  <c r="G264" i="1" s="1"/>
  <c r="Y231" i="1" l="1"/>
  <c r="X231" i="1"/>
  <c r="AC231" i="1"/>
  <c r="AD231" i="1"/>
  <c r="V231" i="1"/>
  <c r="U231" i="1"/>
  <c r="N275" i="1"/>
  <c r="I264" i="1"/>
  <c r="J264" i="1" s="1"/>
  <c r="P264" i="1" s="1"/>
  <c r="K232" i="1" l="1"/>
  <c r="AB231" i="1"/>
  <c r="W264" i="1"/>
  <c r="E265" i="1"/>
  <c r="M232" i="1" l="1"/>
  <c r="O232" i="1" s="1"/>
  <c r="H265" i="1"/>
  <c r="G265" i="1" s="1"/>
  <c r="R232" i="1" l="1"/>
  <c r="S232" i="1"/>
  <c r="T244" i="1"/>
  <c r="AF232" i="1"/>
  <c r="AE232" i="1"/>
  <c r="I265" i="1"/>
  <c r="J265" i="1" s="1"/>
  <c r="P265" i="1" s="1"/>
  <c r="N276" i="1"/>
  <c r="Y232" i="1" l="1"/>
  <c r="AD232" i="1"/>
  <c r="AC232" i="1"/>
  <c r="X232" i="1"/>
  <c r="U232" i="1"/>
  <c r="V232" i="1"/>
  <c r="W265" i="1"/>
  <c r="E266" i="1"/>
  <c r="AB232" i="1" l="1"/>
  <c r="K233" i="1"/>
  <c r="H266" i="1"/>
  <c r="G266" i="1" s="1"/>
  <c r="M233" i="1" l="1"/>
  <c r="R233" i="1" s="1"/>
  <c r="I266" i="1"/>
  <c r="J266" i="1" s="1"/>
  <c r="P266" i="1" s="1"/>
  <c r="N277" i="1"/>
  <c r="S233" i="1" l="1"/>
  <c r="X233" i="1" s="1"/>
  <c r="O233" i="1"/>
  <c r="T245" i="1"/>
  <c r="AF233" i="1"/>
  <c r="AE233" i="1"/>
  <c r="W266" i="1"/>
  <c r="E267" i="1"/>
  <c r="U233" i="1" l="1"/>
  <c r="AC233" i="1"/>
  <c r="AD233" i="1"/>
  <c r="V233" i="1"/>
  <c r="Y233" i="1"/>
  <c r="H267" i="1"/>
  <c r="G267" i="1" s="1"/>
  <c r="AB233" i="1" l="1"/>
  <c r="K234" i="1"/>
  <c r="N278" i="1"/>
  <c r="I267" i="1"/>
  <c r="J267" i="1" s="1"/>
  <c r="P267" i="1" s="1"/>
  <c r="M234" i="1" l="1"/>
  <c r="S234" i="1" s="1"/>
  <c r="W267" i="1"/>
  <c r="E268" i="1"/>
  <c r="O234" i="1" l="1"/>
  <c r="R234" i="1"/>
  <c r="AD234" i="1" s="1"/>
  <c r="T246" i="1"/>
  <c r="AE234" i="1"/>
  <c r="AF234" i="1"/>
  <c r="X234" i="1"/>
  <c r="AC234" i="1"/>
  <c r="H268" i="1"/>
  <c r="G268" i="1" s="1"/>
  <c r="U234" i="1" l="1"/>
  <c r="V234" i="1"/>
  <c r="Y234" i="1"/>
  <c r="N279" i="1"/>
  <c r="I268" i="1"/>
  <c r="J268" i="1" s="1"/>
  <c r="P268" i="1" s="1"/>
  <c r="AB234" i="1" l="1"/>
  <c r="K235" i="1"/>
  <c r="W268" i="1"/>
  <c r="E269" i="1"/>
  <c r="M235" i="1" l="1"/>
  <c r="S235" i="1" s="1"/>
  <c r="H269" i="1"/>
  <c r="G269" i="1" s="1"/>
  <c r="R235" i="1" l="1"/>
  <c r="AD235" i="1" s="1"/>
  <c r="O235" i="1"/>
  <c r="T247" i="1"/>
  <c r="AF235" i="1"/>
  <c r="AE235" i="1"/>
  <c r="X235" i="1"/>
  <c r="AC235" i="1"/>
  <c r="I269" i="1"/>
  <c r="J269" i="1" s="1"/>
  <c r="P269" i="1" s="1"/>
  <c r="N280" i="1"/>
  <c r="U235" i="1" l="1"/>
  <c r="V235" i="1"/>
  <c r="Y235" i="1"/>
  <c r="W269" i="1"/>
  <c r="E270" i="1"/>
  <c r="AB235" i="1" l="1"/>
  <c r="K236" i="1"/>
  <c r="H270" i="1"/>
  <c r="G270" i="1" s="1"/>
  <c r="M236" i="1" l="1"/>
  <c r="R236" i="1" s="1"/>
  <c r="N281" i="1"/>
  <c r="I270" i="1"/>
  <c r="J270" i="1" s="1"/>
  <c r="P270" i="1" s="1"/>
  <c r="S236" i="1" l="1"/>
  <c r="O236" i="1"/>
  <c r="T248" i="1"/>
  <c r="AE236" i="1"/>
  <c r="AF236" i="1"/>
  <c r="W270" i="1"/>
  <c r="E271" i="1"/>
  <c r="AD236" i="1" l="1"/>
  <c r="AC236" i="1"/>
  <c r="X236" i="1"/>
  <c r="U236" i="1"/>
  <c r="V236" i="1"/>
  <c r="Y236" i="1"/>
  <c r="H271" i="1"/>
  <c r="G271" i="1" s="1"/>
  <c r="K237" i="1" l="1"/>
  <c r="AB236" i="1"/>
  <c r="N282" i="1"/>
  <c r="I271" i="1"/>
  <c r="J271" i="1" s="1"/>
  <c r="P271" i="1" s="1"/>
  <c r="M237" i="1" l="1"/>
  <c r="S237" i="1" s="1"/>
  <c r="W271" i="1"/>
  <c r="E272" i="1"/>
  <c r="R237" i="1" l="1"/>
  <c r="AD237" i="1" s="1"/>
  <c r="O237" i="1"/>
  <c r="T249" i="1"/>
  <c r="AE237" i="1"/>
  <c r="AF237" i="1"/>
  <c r="X237" i="1"/>
  <c r="AC237" i="1"/>
  <c r="H272" i="1"/>
  <c r="G272" i="1" s="1"/>
  <c r="U237" i="1" l="1"/>
  <c r="V237" i="1"/>
  <c r="Y237" i="1"/>
  <c r="I272" i="1"/>
  <c r="J272" i="1" s="1"/>
  <c r="P272" i="1" s="1"/>
  <c r="N283" i="1"/>
  <c r="K238" i="1" l="1"/>
  <c r="AB237" i="1"/>
  <c r="W272" i="1"/>
  <c r="E273" i="1"/>
  <c r="M238" i="1" l="1"/>
  <c r="R238" i="1" s="1"/>
  <c r="H273" i="1"/>
  <c r="G273" i="1" s="1"/>
  <c r="S238" i="1" l="1"/>
  <c r="T250" i="1"/>
  <c r="AE238" i="1"/>
  <c r="AF238" i="1"/>
  <c r="O238" i="1"/>
  <c r="N284" i="1"/>
  <c r="I273" i="1"/>
  <c r="J273" i="1" s="1"/>
  <c r="P273" i="1" s="1"/>
  <c r="Y238" i="1" l="1"/>
  <c r="V238" i="1"/>
  <c r="X238" i="1"/>
  <c r="AC238" i="1"/>
  <c r="AD238" i="1"/>
  <c r="U238" i="1"/>
  <c r="W273" i="1"/>
  <c r="E274" i="1"/>
  <c r="K239" i="1" l="1"/>
  <c r="M239" i="1" s="1"/>
  <c r="S239" i="1" s="1"/>
  <c r="AB238" i="1"/>
  <c r="H274" i="1"/>
  <c r="G274" i="1" s="1"/>
  <c r="R239" i="1" l="1"/>
  <c r="AD239" i="1" s="1"/>
  <c r="O239" i="1"/>
  <c r="T251" i="1"/>
  <c r="AE239" i="1"/>
  <c r="AF239" i="1"/>
  <c r="X239" i="1"/>
  <c r="AC239" i="1"/>
  <c r="N285" i="1"/>
  <c r="I274" i="1"/>
  <c r="J274" i="1" s="1"/>
  <c r="P274" i="1" s="1"/>
  <c r="U239" i="1" l="1"/>
  <c r="V239" i="1"/>
  <c r="Y239" i="1"/>
  <c r="W274" i="1"/>
  <c r="E275" i="1"/>
  <c r="K240" i="1" l="1"/>
  <c r="AB239" i="1"/>
  <c r="H275" i="1"/>
  <c r="G275" i="1" s="1"/>
  <c r="M240" i="1" l="1"/>
  <c r="S240" i="1" s="1"/>
  <c r="N286" i="1"/>
  <c r="I275" i="1"/>
  <c r="J275" i="1" s="1"/>
  <c r="P275" i="1" s="1"/>
  <c r="O240" i="1" l="1"/>
  <c r="R240" i="1"/>
  <c r="AD240" i="1" s="1"/>
  <c r="X240" i="1"/>
  <c r="AC240" i="1"/>
  <c r="T252" i="1"/>
  <c r="AE240" i="1"/>
  <c r="AF240" i="1"/>
  <c r="W275" i="1"/>
  <c r="E276" i="1"/>
  <c r="U240" i="1" l="1"/>
  <c r="V240" i="1"/>
  <c r="Y240" i="1"/>
  <c r="H276" i="1"/>
  <c r="G276" i="1" s="1"/>
  <c r="AB240" i="1" l="1"/>
  <c r="K241" i="1"/>
  <c r="I276" i="1"/>
  <c r="J276" i="1" s="1"/>
  <c r="P276" i="1" s="1"/>
  <c r="N287" i="1"/>
  <c r="M241" i="1" l="1"/>
  <c r="S241" i="1" s="1"/>
  <c r="W276" i="1"/>
  <c r="E277" i="1"/>
  <c r="O241" i="1" l="1"/>
  <c r="R241" i="1"/>
  <c r="AD241" i="1" s="1"/>
  <c r="T253" i="1"/>
  <c r="AE241" i="1"/>
  <c r="AF241" i="1"/>
  <c r="X241" i="1"/>
  <c r="AC241" i="1"/>
  <c r="H277" i="1"/>
  <c r="G277" i="1" s="1"/>
  <c r="U241" i="1" l="1"/>
  <c r="V241" i="1"/>
  <c r="Y241" i="1"/>
  <c r="N288" i="1"/>
  <c r="I277" i="1"/>
  <c r="J277" i="1" s="1"/>
  <c r="P277" i="1" s="1"/>
  <c r="K242" i="1" l="1"/>
  <c r="AB241" i="1"/>
  <c r="W277" i="1"/>
  <c r="E278" i="1"/>
  <c r="M242" i="1" l="1"/>
  <c r="R242" i="1" s="1"/>
  <c r="H278" i="1"/>
  <c r="G278" i="1" s="1"/>
  <c r="S242" i="1" l="1"/>
  <c r="O242" i="1"/>
  <c r="T254" i="1"/>
  <c r="AE242" i="1"/>
  <c r="AF242" i="1"/>
  <c r="N289" i="1"/>
  <c r="I278" i="1"/>
  <c r="J278" i="1" s="1"/>
  <c r="P278" i="1" s="1"/>
  <c r="X242" i="1" l="1"/>
  <c r="AD242" i="1"/>
  <c r="AC242" i="1"/>
  <c r="U242" i="1"/>
  <c r="V242" i="1"/>
  <c r="Y242" i="1"/>
  <c r="W278" i="1"/>
  <c r="E279" i="1"/>
  <c r="G279" i="1" l="1"/>
  <c r="K243" i="1"/>
  <c r="AB242" i="1"/>
  <c r="H279" i="1"/>
  <c r="M243" i="1" l="1"/>
  <c r="S243" i="1" s="1"/>
  <c r="N290" i="1"/>
  <c r="I279" i="1"/>
  <c r="J279" i="1" s="1"/>
  <c r="P279" i="1" s="1"/>
  <c r="R243" i="1" l="1"/>
  <c r="AD243" i="1" s="1"/>
  <c r="O243" i="1"/>
  <c r="T255" i="1"/>
  <c r="AF243" i="1"/>
  <c r="AE243" i="1"/>
  <c r="X243" i="1"/>
  <c r="AC243" i="1"/>
  <c r="W279" i="1"/>
  <c r="E280" i="1"/>
  <c r="U243" i="1" l="1"/>
  <c r="V243" i="1"/>
  <c r="Y243" i="1"/>
  <c r="H280" i="1"/>
  <c r="G280" i="1" s="1"/>
  <c r="K244" i="1" l="1"/>
  <c r="AB243" i="1"/>
  <c r="N291" i="1"/>
  <c r="I280" i="1"/>
  <c r="J280" i="1" s="1"/>
  <c r="P280" i="1" s="1"/>
  <c r="M244" i="1" l="1"/>
  <c r="W280" i="1"/>
  <c r="E281" i="1"/>
  <c r="S244" i="1" l="1"/>
  <c r="O244" i="1"/>
  <c r="R244" i="1"/>
  <c r="T256" i="1"/>
  <c r="AE244" i="1"/>
  <c r="AF244" i="1"/>
  <c r="H281" i="1"/>
  <c r="G281" i="1" s="1"/>
  <c r="X244" i="1" l="1"/>
  <c r="AC244" i="1"/>
  <c r="AD244" i="1"/>
  <c r="U244" i="1"/>
  <c r="V244" i="1"/>
  <c r="Y244" i="1"/>
  <c r="I281" i="1"/>
  <c r="J281" i="1" s="1"/>
  <c r="P281" i="1" s="1"/>
  <c r="N292" i="1"/>
  <c r="AB244" i="1" l="1"/>
  <c r="K245" i="1"/>
  <c r="W281" i="1"/>
  <c r="E282" i="1"/>
  <c r="M245" i="1" l="1"/>
  <c r="S245" i="1" s="1"/>
  <c r="H282" i="1"/>
  <c r="G282" i="1" s="1"/>
  <c r="R245" i="1" l="1"/>
  <c r="AD245" i="1" s="1"/>
  <c r="T257" i="1"/>
  <c r="AE245" i="1"/>
  <c r="AF245" i="1"/>
  <c r="O245" i="1"/>
  <c r="X245" i="1"/>
  <c r="AC245" i="1"/>
  <c r="I282" i="1"/>
  <c r="J282" i="1" s="1"/>
  <c r="P282" i="1" s="1"/>
  <c r="N293" i="1"/>
  <c r="Y245" i="1" l="1"/>
  <c r="U245" i="1"/>
  <c r="V245" i="1"/>
  <c r="W282" i="1"/>
  <c r="E283" i="1"/>
  <c r="K246" i="1" l="1"/>
  <c r="M246" i="1" s="1"/>
  <c r="S246" i="1" s="1"/>
  <c r="AB245" i="1"/>
  <c r="H283" i="1"/>
  <c r="G283" i="1" s="1"/>
  <c r="R246" i="1" l="1"/>
  <c r="AD246" i="1" s="1"/>
  <c r="O246" i="1"/>
  <c r="T258" i="1"/>
  <c r="AF246" i="1"/>
  <c r="AE246" i="1"/>
  <c r="X246" i="1"/>
  <c r="AC246" i="1"/>
  <c r="I283" i="1"/>
  <c r="J283" i="1" s="1"/>
  <c r="P283" i="1" s="1"/>
  <c r="N294" i="1"/>
  <c r="U246" i="1" l="1"/>
  <c r="V246" i="1"/>
  <c r="Y246" i="1"/>
  <c r="W283" i="1"/>
  <c r="E284" i="1"/>
  <c r="K247" i="1" l="1"/>
  <c r="AB246" i="1"/>
  <c r="H284" i="1"/>
  <c r="G284" i="1" s="1"/>
  <c r="M247" i="1" l="1"/>
  <c r="S247" i="1" s="1"/>
  <c r="N295" i="1"/>
  <c r="I284" i="1"/>
  <c r="J284" i="1" s="1"/>
  <c r="P284" i="1" s="1"/>
  <c r="R247" i="1" l="1"/>
  <c r="AD247" i="1" s="1"/>
  <c r="T259" i="1"/>
  <c r="AF247" i="1"/>
  <c r="AE247" i="1"/>
  <c r="O247" i="1"/>
  <c r="X247" i="1"/>
  <c r="AC247" i="1"/>
  <c r="W284" i="1"/>
  <c r="E285" i="1"/>
  <c r="U247" i="1" l="1"/>
  <c r="V247" i="1"/>
  <c r="Y247" i="1"/>
  <c r="H285" i="1"/>
  <c r="G285" i="1" s="1"/>
  <c r="K248" i="1" l="1"/>
  <c r="AB247" i="1"/>
  <c r="N296" i="1"/>
  <c r="I285" i="1"/>
  <c r="J285" i="1" s="1"/>
  <c r="P285" i="1" s="1"/>
  <c r="M248" i="1" l="1"/>
  <c r="S248" i="1" s="1"/>
  <c r="W285" i="1"/>
  <c r="E286" i="1"/>
  <c r="R248" i="1" l="1"/>
  <c r="AD248" i="1" s="1"/>
  <c r="O248" i="1"/>
  <c r="T260" i="1"/>
  <c r="AE248" i="1"/>
  <c r="AF248" i="1"/>
  <c r="X248" i="1"/>
  <c r="AC248" i="1"/>
  <c r="H286" i="1"/>
  <c r="G286" i="1" s="1"/>
  <c r="U248" i="1" l="1"/>
  <c r="V248" i="1"/>
  <c r="Y248" i="1"/>
  <c r="N297" i="1"/>
  <c r="I286" i="1"/>
  <c r="J286" i="1" s="1"/>
  <c r="P286" i="1" s="1"/>
  <c r="AB248" i="1" l="1"/>
  <c r="K249" i="1"/>
  <c r="W286" i="1"/>
  <c r="E287" i="1"/>
  <c r="M249" i="1" l="1"/>
  <c r="S249" i="1" s="1"/>
  <c r="H287" i="1"/>
  <c r="G287" i="1" s="1"/>
  <c r="R249" i="1" l="1"/>
  <c r="AD249" i="1" s="1"/>
  <c r="T261" i="1"/>
  <c r="AF249" i="1"/>
  <c r="AE249" i="1"/>
  <c r="O249" i="1"/>
  <c r="X249" i="1"/>
  <c r="AC249" i="1"/>
  <c r="N298" i="1"/>
  <c r="I287" i="1"/>
  <c r="J287" i="1" s="1"/>
  <c r="P287" i="1" s="1"/>
  <c r="Y249" i="1" l="1"/>
  <c r="U249" i="1"/>
  <c r="V249" i="1"/>
  <c r="W287" i="1"/>
  <c r="E288" i="1"/>
  <c r="AB249" i="1" l="1"/>
  <c r="K250" i="1"/>
  <c r="M250" i="1" s="1"/>
  <c r="H288" i="1"/>
  <c r="G288" i="1" s="1"/>
  <c r="S250" i="1" l="1"/>
  <c r="O250" i="1"/>
  <c r="R250" i="1"/>
  <c r="T262" i="1"/>
  <c r="AE250" i="1"/>
  <c r="AF250" i="1"/>
  <c r="N299" i="1"/>
  <c r="I288" i="1"/>
  <c r="J288" i="1" s="1"/>
  <c r="P288" i="1" s="1"/>
  <c r="X250" i="1" l="1"/>
  <c r="AD250" i="1"/>
  <c r="AC250" i="1"/>
  <c r="U250" i="1"/>
  <c r="V250" i="1"/>
  <c r="Y250" i="1"/>
  <c r="W288" i="1"/>
  <c r="E289" i="1"/>
  <c r="K251" i="1" l="1"/>
  <c r="AB250" i="1"/>
  <c r="H289" i="1"/>
  <c r="G289" i="1" s="1"/>
  <c r="M251" i="1" l="1"/>
  <c r="R251" i="1" s="1"/>
  <c r="N300" i="1"/>
  <c r="I289" i="1"/>
  <c r="J289" i="1" s="1"/>
  <c r="P289" i="1" s="1"/>
  <c r="S251" i="1" l="1"/>
  <c r="AD251" i="1" s="1"/>
  <c r="T263" i="1"/>
  <c r="AF251" i="1"/>
  <c r="AE251" i="1"/>
  <c r="O251" i="1"/>
  <c r="W289" i="1"/>
  <c r="E290" i="1"/>
  <c r="U251" i="1" l="1"/>
  <c r="X251" i="1"/>
  <c r="AC251" i="1"/>
  <c r="Y251" i="1"/>
  <c r="V251" i="1"/>
  <c r="H290" i="1"/>
  <c r="G290" i="1" s="1"/>
  <c r="AB251" i="1" l="1"/>
  <c r="K252" i="1"/>
  <c r="N301" i="1"/>
  <c r="I290" i="1"/>
  <c r="J290" i="1" s="1"/>
  <c r="P290" i="1" s="1"/>
  <c r="M252" i="1" l="1"/>
  <c r="W290" i="1"/>
  <c r="E291" i="1"/>
  <c r="R252" i="1" l="1"/>
  <c r="O252" i="1"/>
  <c r="S252" i="1"/>
  <c r="T264" i="1"/>
  <c r="AE252" i="1"/>
  <c r="AF252" i="1"/>
  <c r="H291" i="1"/>
  <c r="G291" i="1" s="1"/>
  <c r="X252" i="1" l="1"/>
  <c r="AC252" i="1"/>
  <c r="AD252" i="1"/>
  <c r="U252" i="1"/>
  <c r="V252" i="1"/>
  <c r="Y252" i="1"/>
  <c r="I291" i="1"/>
  <c r="J291" i="1" s="1"/>
  <c r="P291" i="1" s="1"/>
  <c r="N302" i="1"/>
  <c r="AB252" i="1" l="1"/>
  <c r="K253" i="1"/>
  <c r="W291" i="1"/>
  <c r="E292" i="1"/>
  <c r="M253" i="1" l="1"/>
  <c r="S253" i="1" s="1"/>
  <c r="H292" i="1"/>
  <c r="G292" i="1" s="1"/>
  <c r="R253" i="1" l="1"/>
  <c r="V253" i="1" s="1"/>
  <c r="T265" i="1"/>
  <c r="AE253" i="1"/>
  <c r="AF253" i="1"/>
  <c r="O253" i="1"/>
  <c r="X253" i="1"/>
  <c r="AC253" i="1"/>
  <c r="I292" i="1"/>
  <c r="J292" i="1" s="1"/>
  <c r="P292" i="1" s="1"/>
  <c r="N303" i="1"/>
  <c r="Y253" i="1" l="1"/>
  <c r="U253" i="1"/>
  <c r="AD253" i="1"/>
  <c r="AB253" i="1"/>
  <c r="K254" i="1"/>
  <c r="W292" i="1"/>
  <c r="E293" i="1"/>
  <c r="M254" i="1" l="1"/>
  <c r="R254" i="1" s="1"/>
  <c r="H293" i="1"/>
  <c r="G293" i="1" s="1"/>
  <c r="S254" i="1" l="1"/>
  <c r="T266" i="1"/>
  <c r="AF254" i="1"/>
  <c r="AE254" i="1"/>
  <c r="O254" i="1"/>
  <c r="I293" i="1"/>
  <c r="J293" i="1" s="1"/>
  <c r="P293" i="1" s="1"/>
  <c r="N304" i="1"/>
  <c r="Y254" i="1" l="1"/>
  <c r="X254" i="1"/>
  <c r="V254" i="1"/>
  <c r="AD254" i="1"/>
  <c r="AC254" i="1"/>
  <c r="U254" i="1"/>
  <c r="W293" i="1"/>
  <c r="E294" i="1"/>
  <c r="K255" i="1" l="1"/>
  <c r="M255" i="1" s="1"/>
  <c r="S255" i="1" s="1"/>
  <c r="AB254" i="1"/>
  <c r="H294" i="1"/>
  <c r="G294" i="1" s="1"/>
  <c r="R255" i="1" l="1"/>
  <c r="AD255" i="1" s="1"/>
  <c r="T267" i="1"/>
  <c r="AF255" i="1"/>
  <c r="AE255" i="1"/>
  <c r="O255" i="1"/>
  <c r="X255" i="1"/>
  <c r="AC255" i="1"/>
  <c r="I294" i="1"/>
  <c r="J294" i="1" s="1"/>
  <c r="P294" i="1" s="1"/>
  <c r="N305" i="1"/>
  <c r="U255" i="1" l="1"/>
  <c r="V255" i="1"/>
  <c r="Y255" i="1"/>
  <c r="W294" i="1"/>
  <c r="E295" i="1"/>
  <c r="AB255" i="1" l="1"/>
  <c r="K256" i="1"/>
  <c r="M256" i="1" s="1"/>
  <c r="S256" i="1" s="1"/>
  <c r="H295" i="1"/>
  <c r="G295" i="1" s="1"/>
  <c r="R256" i="1" l="1"/>
  <c r="AD256" i="1" s="1"/>
  <c r="T268" i="1"/>
  <c r="AE256" i="1"/>
  <c r="AF256" i="1"/>
  <c r="O256" i="1"/>
  <c r="X256" i="1"/>
  <c r="AC256" i="1"/>
  <c r="N306" i="1"/>
  <c r="I295" i="1"/>
  <c r="J295" i="1" s="1"/>
  <c r="P295" i="1" s="1"/>
  <c r="V256" i="1" l="1"/>
  <c r="U256" i="1"/>
  <c r="Y256" i="1"/>
  <c r="W295" i="1"/>
  <c r="E296" i="1"/>
  <c r="K257" i="1" l="1"/>
  <c r="M257" i="1" s="1"/>
  <c r="S257" i="1" s="1"/>
  <c r="AB256" i="1"/>
  <c r="H296" i="1"/>
  <c r="G296" i="1" s="1"/>
  <c r="R257" i="1" l="1"/>
  <c r="AD257" i="1" s="1"/>
  <c r="O257" i="1"/>
  <c r="T269" i="1"/>
  <c r="AE257" i="1"/>
  <c r="AF257" i="1"/>
  <c r="X257" i="1"/>
  <c r="AC257" i="1"/>
  <c r="N307" i="1"/>
  <c r="I296" i="1"/>
  <c r="J296" i="1" s="1"/>
  <c r="P296" i="1" s="1"/>
  <c r="U257" i="1" l="1"/>
  <c r="V257" i="1"/>
  <c r="Y257" i="1"/>
  <c r="W296" i="1"/>
  <c r="E297" i="1"/>
  <c r="K258" i="1" l="1"/>
  <c r="AB257" i="1"/>
  <c r="H297" i="1"/>
  <c r="G297" i="1" s="1"/>
  <c r="M258" i="1" l="1"/>
  <c r="S258" i="1" s="1"/>
  <c r="N308" i="1"/>
  <c r="I297" i="1"/>
  <c r="J297" i="1" s="1"/>
  <c r="P297" i="1" s="1"/>
  <c r="R258" i="1" l="1"/>
  <c r="AD258" i="1" s="1"/>
  <c r="X258" i="1"/>
  <c r="AC258" i="1"/>
  <c r="T270" i="1"/>
  <c r="AE258" i="1"/>
  <c r="AF258" i="1"/>
  <c r="O258" i="1"/>
  <c r="W297" i="1"/>
  <c r="E298" i="1"/>
  <c r="U258" i="1" l="1"/>
  <c r="V258" i="1"/>
  <c r="Y258" i="1"/>
  <c r="H298" i="1"/>
  <c r="G298" i="1" s="1"/>
  <c r="K259" i="1" l="1"/>
  <c r="AB258" i="1"/>
  <c r="I298" i="1"/>
  <c r="J298" i="1" s="1"/>
  <c r="P298" i="1" s="1"/>
  <c r="N309" i="1"/>
  <c r="M259" i="1" l="1"/>
  <c r="R259" i="1" s="1"/>
  <c r="W298" i="1"/>
  <c r="E299" i="1"/>
  <c r="S259" i="1" l="1"/>
  <c r="T271" i="1"/>
  <c r="AF259" i="1"/>
  <c r="AE259" i="1"/>
  <c r="O259" i="1"/>
  <c r="H299" i="1"/>
  <c r="G299" i="1" s="1"/>
  <c r="X259" i="1" l="1"/>
  <c r="AD259" i="1"/>
  <c r="AC259" i="1"/>
  <c r="U259" i="1"/>
  <c r="V259" i="1"/>
  <c r="Y259" i="1"/>
  <c r="I299" i="1"/>
  <c r="J299" i="1" s="1"/>
  <c r="P299" i="1" s="1"/>
  <c r="N310" i="1"/>
  <c r="AB259" i="1" l="1"/>
  <c r="K260" i="1"/>
  <c r="W299" i="1"/>
  <c r="E300" i="1"/>
  <c r="M260" i="1" l="1"/>
  <c r="R260" i="1" s="1"/>
  <c r="H300" i="1"/>
  <c r="G300" i="1" s="1"/>
  <c r="S260" i="1" l="1"/>
  <c r="AC260" i="1" s="1"/>
  <c r="T272" i="1"/>
  <c r="AF260" i="1"/>
  <c r="AE260" i="1"/>
  <c r="O260" i="1"/>
  <c r="N311" i="1"/>
  <c r="I300" i="1"/>
  <c r="J300" i="1" s="1"/>
  <c r="P300" i="1" s="1"/>
  <c r="X260" i="1" l="1"/>
  <c r="AD260" i="1"/>
  <c r="U260" i="1"/>
  <c r="V260" i="1"/>
  <c r="Y260" i="1"/>
  <c r="W300" i="1"/>
  <c r="E301" i="1"/>
  <c r="G301" i="1" l="1"/>
  <c r="K261" i="1"/>
  <c r="AB260" i="1"/>
  <c r="H301" i="1"/>
  <c r="M261" i="1" l="1"/>
  <c r="S261" i="1" s="1"/>
  <c r="I301" i="1"/>
  <c r="J301" i="1" s="1"/>
  <c r="P301" i="1" s="1"/>
  <c r="N312" i="1"/>
  <c r="R261" i="1" l="1"/>
  <c r="AD261" i="1" s="1"/>
  <c r="X261" i="1"/>
  <c r="AC261" i="1"/>
  <c r="T273" i="1"/>
  <c r="AE261" i="1"/>
  <c r="AF261" i="1"/>
  <c r="O261" i="1"/>
  <c r="W301" i="1"/>
  <c r="E302" i="1"/>
  <c r="V261" i="1" l="1"/>
  <c r="U261" i="1"/>
  <c r="Y261" i="1"/>
  <c r="H302" i="1"/>
  <c r="G302" i="1" s="1"/>
  <c r="K262" i="1" l="1"/>
  <c r="M262" i="1" s="1"/>
  <c r="S262" i="1" s="1"/>
  <c r="AB261" i="1"/>
  <c r="I302" i="1"/>
  <c r="J302" i="1" s="1"/>
  <c r="P302" i="1" s="1"/>
  <c r="N313" i="1"/>
  <c r="R262" i="1" l="1"/>
  <c r="AD262" i="1" s="1"/>
  <c r="T274" i="1"/>
  <c r="AF262" i="1"/>
  <c r="AE262" i="1"/>
  <c r="X262" i="1"/>
  <c r="AC262" i="1"/>
  <c r="O262" i="1"/>
  <c r="W302" i="1"/>
  <c r="E303" i="1"/>
  <c r="U262" i="1" l="1"/>
  <c r="V262" i="1"/>
  <c r="Y262" i="1"/>
  <c r="H303" i="1"/>
  <c r="G303" i="1" s="1"/>
  <c r="K263" i="1" l="1"/>
  <c r="AB262" i="1"/>
  <c r="N314" i="1"/>
  <c r="I303" i="1"/>
  <c r="J303" i="1" s="1"/>
  <c r="P303" i="1" s="1"/>
  <c r="M263" i="1" l="1"/>
  <c r="S263" i="1" s="1"/>
  <c r="W303" i="1"/>
  <c r="E304" i="1"/>
  <c r="R263" i="1" l="1"/>
  <c r="AD263" i="1" s="1"/>
  <c r="T275" i="1"/>
  <c r="AF263" i="1"/>
  <c r="AE263" i="1"/>
  <c r="X263" i="1"/>
  <c r="AC263" i="1"/>
  <c r="O263" i="1"/>
  <c r="H304" i="1"/>
  <c r="G304" i="1" s="1"/>
  <c r="U263" i="1" l="1"/>
  <c r="V263" i="1"/>
  <c r="Y263" i="1"/>
  <c r="I304" i="1"/>
  <c r="J304" i="1" s="1"/>
  <c r="P304" i="1" s="1"/>
  <c r="N315" i="1"/>
  <c r="AB263" i="1" l="1"/>
  <c r="K264" i="1"/>
  <c r="W304" i="1"/>
  <c r="E305" i="1"/>
  <c r="M264" i="1" l="1"/>
  <c r="S264" i="1" s="1"/>
  <c r="H305" i="1"/>
  <c r="G305" i="1" s="1"/>
  <c r="R264" i="1" l="1"/>
  <c r="T276" i="1"/>
  <c r="AE264" i="1"/>
  <c r="AF264" i="1"/>
  <c r="X264" i="1"/>
  <c r="AC264" i="1"/>
  <c r="O264" i="1"/>
  <c r="N316" i="1"/>
  <c r="I305" i="1"/>
  <c r="J305" i="1" s="1"/>
  <c r="P305" i="1" s="1"/>
  <c r="U264" i="1" l="1"/>
  <c r="AD264" i="1"/>
  <c r="V264" i="1"/>
  <c r="Y264" i="1"/>
  <c r="W305" i="1"/>
  <c r="E306" i="1"/>
  <c r="K265" i="1" l="1"/>
  <c r="AB264" i="1"/>
  <c r="H306" i="1"/>
  <c r="G306" i="1" s="1"/>
  <c r="M265" i="1" l="1"/>
  <c r="S265" i="1" s="1"/>
  <c r="N317" i="1"/>
  <c r="I306" i="1"/>
  <c r="J306" i="1" s="1"/>
  <c r="P306" i="1" s="1"/>
  <c r="O265" i="1" l="1"/>
  <c r="R265" i="1"/>
  <c r="T277" i="1"/>
  <c r="AE265" i="1"/>
  <c r="AF265" i="1"/>
  <c r="X265" i="1"/>
  <c r="AD265" i="1"/>
  <c r="AC265" i="1"/>
  <c r="W306" i="1"/>
  <c r="E307" i="1"/>
  <c r="Y265" i="1" l="1"/>
  <c r="U265" i="1"/>
  <c r="V265" i="1"/>
  <c r="H307" i="1"/>
  <c r="G307" i="1" s="1"/>
  <c r="K266" i="1" l="1"/>
  <c r="AB265" i="1"/>
  <c r="N318" i="1"/>
  <c r="I307" i="1"/>
  <c r="J307" i="1" s="1"/>
  <c r="P307" i="1" s="1"/>
  <c r="M266" i="1" l="1"/>
  <c r="S266" i="1" s="1"/>
  <c r="W307" i="1"/>
  <c r="E308" i="1"/>
  <c r="O266" i="1" l="1"/>
  <c r="R266" i="1"/>
  <c r="AD266" i="1" s="1"/>
  <c r="T278" i="1"/>
  <c r="AF266" i="1"/>
  <c r="AE266" i="1"/>
  <c r="X266" i="1"/>
  <c r="AC266" i="1"/>
  <c r="H308" i="1"/>
  <c r="G308" i="1" s="1"/>
  <c r="U266" i="1" l="1"/>
  <c r="V266" i="1"/>
  <c r="Y266" i="1"/>
  <c r="I308" i="1"/>
  <c r="J308" i="1" s="1"/>
  <c r="P308" i="1" s="1"/>
  <c r="N319" i="1"/>
  <c r="K267" i="1" l="1"/>
  <c r="AB266" i="1"/>
  <c r="W308" i="1"/>
  <c r="E309" i="1"/>
  <c r="M267" i="1" l="1"/>
  <c r="S267" i="1" s="1"/>
  <c r="H309" i="1"/>
  <c r="G309" i="1" s="1"/>
  <c r="R267" i="1" l="1"/>
  <c r="AD267" i="1" s="1"/>
  <c r="T279" i="1"/>
  <c r="AE267" i="1"/>
  <c r="AF267" i="1"/>
  <c r="O267" i="1"/>
  <c r="X267" i="1"/>
  <c r="AC267" i="1"/>
  <c r="N320" i="1"/>
  <c r="I309" i="1"/>
  <c r="J309" i="1" s="1"/>
  <c r="P309" i="1" s="1"/>
  <c r="U267" i="1" l="1"/>
  <c r="V267" i="1"/>
  <c r="Y267" i="1"/>
  <c r="W309" i="1"/>
  <c r="E310" i="1"/>
  <c r="K268" i="1" l="1"/>
  <c r="AB267" i="1"/>
  <c r="H310" i="1"/>
  <c r="G310" i="1" s="1"/>
  <c r="M268" i="1" l="1"/>
  <c r="S268" i="1" s="1"/>
  <c r="I310" i="1"/>
  <c r="J310" i="1" s="1"/>
  <c r="P310" i="1" s="1"/>
  <c r="N321" i="1"/>
  <c r="R268" i="1" l="1"/>
  <c r="AD268" i="1" s="1"/>
  <c r="T280" i="1"/>
  <c r="AE268" i="1"/>
  <c r="AF268" i="1"/>
  <c r="O268" i="1"/>
  <c r="X268" i="1"/>
  <c r="AC268" i="1"/>
  <c r="W310" i="1"/>
  <c r="E311" i="1"/>
  <c r="U268" i="1" l="1"/>
  <c r="V268" i="1"/>
  <c r="Y268" i="1"/>
  <c r="H311" i="1"/>
  <c r="G311" i="1" s="1"/>
  <c r="K269" i="1" l="1"/>
  <c r="AB268" i="1"/>
  <c r="I311" i="1"/>
  <c r="J311" i="1" s="1"/>
  <c r="P311" i="1" s="1"/>
  <c r="N322" i="1"/>
  <c r="M269" i="1" l="1"/>
  <c r="S269" i="1" s="1"/>
  <c r="W311" i="1"/>
  <c r="E312" i="1"/>
  <c r="R269" i="1" l="1"/>
  <c r="AD269" i="1" s="1"/>
  <c r="T281" i="1"/>
  <c r="AF269" i="1"/>
  <c r="AE269" i="1"/>
  <c r="X269" i="1"/>
  <c r="AC269" i="1"/>
  <c r="O269" i="1"/>
  <c r="H312" i="1"/>
  <c r="G312" i="1" s="1"/>
  <c r="U269" i="1" l="1"/>
  <c r="V269" i="1"/>
  <c r="Y269" i="1"/>
  <c r="N323" i="1"/>
  <c r="I312" i="1"/>
  <c r="J312" i="1" s="1"/>
  <c r="P312" i="1" s="1"/>
  <c r="K270" i="1" l="1"/>
  <c r="AB269" i="1"/>
  <c r="W312" i="1"/>
  <c r="E313" i="1"/>
  <c r="M270" i="1" l="1"/>
  <c r="S270" i="1" s="1"/>
  <c r="H313" i="1"/>
  <c r="G313" i="1" s="1"/>
  <c r="R270" i="1" l="1"/>
  <c r="T282" i="1"/>
  <c r="AE270" i="1"/>
  <c r="AF270" i="1"/>
  <c r="X270" i="1"/>
  <c r="AC270" i="1"/>
  <c r="O270" i="1"/>
  <c r="I313" i="1"/>
  <c r="J313" i="1" s="1"/>
  <c r="P313" i="1" s="1"/>
  <c r="N324" i="1"/>
  <c r="U270" i="1" l="1"/>
  <c r="AD270" i="1"/>
  <c r="Y270" i="1"/>
  <c r="V270" i="1"/>
  <c r="W313" i="1"/>
  <c r="E314" i="1"/>
  <c r="K271" i="1" l="1"/>
  <c r="AB270" i="1"/>
  <c r="H314" i="1"/>
  <c r="G314" i="1" s="1"/>
  <c r="M271" i="1" l="1"/>
  <c r="S271" i="1" s="1"/>
  <c r="I314" i="1"/>
  <c r="J314" i="1" s="1"/>
  <c r="P314" i="1" s="1"/>
  <c r="N325" i="1"/>
  <c r="R271" i="1" l="1"/>
  <c r="T283" i="1"/>
  <c r="AF271" i="1"/>
  <c r="AE271" i="1"/>
  <c r="X271" i="1"/>
  <c r="AC271" i="1"/>
  <c r="O271" i="1"/>
  <c r="W314" i="1"/>
  <c r="E315" i="1"/>
  <c r="U271" i="1" l="1"/>
  <c r="AD271" i="1"/>
  <c r="Y271" i="1"/>
  <c r="V271" i="1"/>
  <c r="H315" i="1"/>
  <c r="G315" i="1" s="1"/>
  <c r="K272" i="1" l="1"/>
  <c r="AB271" i="1"/>
  <c r="I315" i="1"/>
  <c r="J315" i="1" s="1"/>
  <c r="P315" i="1" s="1"/>
  <c r="N326" i="1"/>
  <c r="M272" i="1" l="1"/>
  <c r="S272" i="1" s="1"/>
  <c r="W315" i="1"/>
  <c r="E316" i="1"/>
  <c r="R272" i="1" l="1"/>
  <c r="AD272" i="1" s="1"/>
  <c r="T284" i="1"/>
  <c r="AE272" i="1"/>
  <c r="AF272" i="1"/>
  <c r="O272" i="1"/>
  <c r="X272" i="1"/>
  <c r="AC272" i="1"/>
  <c r="H316" i="1"/>
  <c r="G316" i="1" s="1"/>
  <c r="U272" i="1" l="1"/>
  <c r="V272" i="1"/>
  <c r="Y272" i="1"/>
  <c r="N327" i="1"/>
  <c r="I316" i="1"/>
  <c r="J316" i="1" s="1"/>
  <c r="P316" i="1" s="1"/>
  <c r="AB272" i="1" l="1"/>
  <c r="K273" i="1"/>
  <c r="W316" i="1"/>
  <c r="E317" i="1"/>
  <c r="M273" i="1" l="1"/>
  <c r="S273" i="1" s="1"/>
  <c r="H317" i="1"/>
  <c r="G317" i="1" s="1"/>
  <c r="R273" i="1" l="1"/>
  <c r="T285" i="1"/>
  <c r="AE273" i="1"/>
  <c r="AF273" i="1"/>
  <c r="X273" i="1"/>
  <c r="AC273" i="1"/>
  <c r="O273" i="1"/>
  <c r="N328" i="1"/>
  <c r="I317" i="1"/>
  <c r="J317" i="1" s="1"/>
  <c r="P317" i="1" s="1"/>
  <c r="U273" i="1" l="1"/>
  <c r="AD273" i="1"/>
  <c r="Y273" i="1"/>
  <c r="V273" i="1"/>
  <c r="W317" i="1"/>
  <c r="E318" i="1"/>
  <c r="K274" i="1" l="1"/>
  <c r="AB273" i="1"/>
  <c r="H318" i="1"/>
  <c r="G318" i="1" s="1"/>
  <c r="M274" i="1" l="1"/>
  <c r="S274" i="1" s="1"/>
  <c r="N329" i="1"/>
  <c r="I318" i="1"/>
  <c r="J318" i="1" s="1"/>
  <c r="P318" i="1" s="1"/>
  <c r="R274" i="1" l="1"/>
  <c r="AD274" i="1" s="1"/>
  <c r="T286" i="1"/>
  <c r="AE274" i="1"/>
  <c r="AF274" i="1"/>
  <c r="X274" i="1"/>
  <c r="AC274" i="1"/>
  <c r="O274" i="1"/>
  <c r="W318" i="1"/>
  <c r="E319" i="1"/>
  <c r="U274" i="1" l="1"/>
  <c r="V274" i="1"/>
  <c r="Y274" i="1"/>
  <c r="H319" i="1"/>
  <c r="G319" i="1" s="1"/>
  <c r="AB274" i="1" l="1"/>
  <c r="K275" i="1"/>
  <c r="N330" i="1"/>
  <c r="I319" i="1"/>
  <c r="J319" i="1" s="1"/>
  <c r="P319" i="1" s="1"/>
  <c r="M275" i="1" l="1"/>
  <c r="R275" i="1" s="1"/>
  <c r="W319" i="1"/>
  <c r="E320" i="1"/>
  <c r="S275" i="1" l="1"/>
  <c r="T287" i="1"/>
  <c r="AF275" i="1"/>
  <c r="AE275" i="1"/>
  <c r="O275" i="1"/>
  <c r="H320" i="1"/>
  <c r="G320" i="1" s="1"/>
  <c r="X275" i="1" l="1"/>
  <c r="AD275" i="1"/>
  <c r="AC275" i="1"/>
  <c r="U275" i="1"/>
  <c r="V275" i="1"/>
  <c r="Y275" i="1"/>
  <c r="I320" i="1"/>
  <c r="J320" i="1" s="1"/>
  <c r="P320" i="1" s="1"/>
  <c r="N331" i="1"/>
  <c r="K276" i="1" l="1"/>
  <c r="AB275" i="1"/>
  <c r="W320" i="1"/>
  <c r="E321" i="1"/>
  <c r="M276" i="1" l="1"/>
  <c r="S276" i="1" s="1"/>
  <c r="H321" i="1"/>
  <c r="G321" i="1" s="1"/>
  <c r="R276" i="1" l="1"/>
  <c r="AD276" i="1" s="1"/>
  <c r="T288" i="1"/>
  <c r="AE276" i="1"/>
  <c r="AF276" i="1"/>
  <c r="X276" i="1"/>
  <c r="AC276" i="1"/>
  <c r="O276" i="1"/>
  <c r="N332" i="1"/>
  <c r="I321" i="1"/>
  <c r="J321" i="1" s="1"/>
  <c r="P321" i="1" s="1"/>
  <c r="U276" i="1" l="1"/>
  <c r="V276" i="1"/>
  <c r="Y276" i="1"/>
  <c r="W321" i="1"/>
  <c r="E322" i="1"/>
  <c r="K277" i="1" l="1"/>
  <c r="AB276" i="1"/>
  <c r="H322" i="1"/>
  <c r="G322" i="1" s="1"/>
  <c r="M277" i="1" l="1"/>
  <c r="S277" i="1" s="1"/>
  <c r="N333" i="1"/>
  <c r="I322" i="1"/>
  <c r="J322" i="1" s="1"/>
  <c r="P322" i="1" s="1"/>
  <c r="R277" i="1" l="1"/>
  <c r="AD277" i="1" s="1"/>
  <c r="T289" i="1"/>
  <c r="AF277" i="1"/>
  <c r="AE277" i="1"/>
  <c r="X277" i="1"/>
  <c r="AC277" i="1"/>
  <c r="O277" i="1"/>
  <c r="W322" i="1"/>
  <c r="E323" i="1"/>
  <c r="U277" i="1" l="1"/>
  <c r="V277" i="1"/>
  <c r="Y277" i="1"/>
  <c r="H323" i="1"/>
  <c r="G323" i="1" s="1"/>
  <c r="K278" i="1" l="1"/>
  <c r="AB277" i="1"/>
  <c r="M278" i="1"/>
  <c r="S278" i="1" s="1"/>
  <c r="I323" i="1"/>
  <c r="J323" i="1" s="1"/>
  <c r="P323" i="1" s="1"/>
  <c r="N334" i="1"/>
  <c r="R278" i="1" l="1"/>
  <c r="AD278" i="1" s="1"/>
  <c r="T290" i="1"/>
  <c r="AE278" i="1"/>
  <c r="AF278" i="1"/>
  <c r="X278" i="1"/>
  <c r="AC278" i="1"/>
  <c r="O278" i="1"/>
  <c r="W323" i="1"/>
  <c r="E324" i="1"/>
  <c r="U278" i="1" l="1"/>
  <c r="V278" i="1"/>
  <c r="Y278" i="1"/>
  <c r="H324" i="1"/>
  <c r="G324" i="1" s="1"/>
  <c r="K279" i="1" l="1"/>
  <c r="AB278" i="1"/>
  <c r="N335" i="1"/>
  <c r="I324" i="1"/>
  <c r="J324" i="1" s="1"/>
  <c r="P324" i="1" s="1"/>
  <c r="M279" i="1" l="1"/>
  <c r="S279" i="1" s="1"/>
  <c r="W324" i="1"/>
  <c r="E325" i="1"/>
  <c r="R279" i="1" l="1"/>
  <c r="AD279" i="1" s="1"/>
  <c r="T291" i="1"/>
  <c r="AE279" i="1"/>
  <c r="AF279" i="1"/>
  <c r="X279" i="1"/>
  <c r="AC279" i="1"/>
  <c r="O279" i="1"/>
  <c r="H325" i="1"/>
  <c r="G325" i="1" s="1"/>
  <c r="U279" i="1" l="1"/>
  <c r="V279" i="1"/>
  <c r="Y279" i="1"/>
  <c r="N336" i="1"/>
  <c r="I325" i="1"/>
  <c r="J325" i="1" s="1"/>
  <c r="P325" i="1" s="1"/>
  <c r="K280" i="1" l="1"/>
  <c r="AB279" i="1"/>
  <c r="W325" i="1"/>
  <c r="E326" i="1"/>
  <c r="M280" i="1" l="1"/>
  <c r="H326" i="1"/>
  <c r="G326" i="1" s="1"/>
  <c r="S280" i="1" l="1"/>
  <c r="R280" i="1"/>
  <c r="O280" i="1"/>
  <c r="T292" i="1"/>
  <c r="AF280" i="1"/>
  <c r="AE280" i="1"/>
  <c r="N337" i="1"/>
  <c r="I326" i="1"/>
  <c r="J326" i="1" s="1"/>
  <c r="P326" i="1" s="1"/>
  <c r="AD280" i="1" l="1"/>
  <c r="X280" i="1"/>
  <c r="AC280" i="1"/>
  <c r="U280" i="1"/>
  <c r="V280" i="1"/>
  <c r="Y280" i="1"/>
  <c r="W326" i="1"/>
  <c r="E327" i="1"/>
  <c r="K281" i="1" l="1"/>
  <c r="AB280" i="1"/>
  <c r="H327" i="1"/>
  <c r="G327" i="1" s="1"/>
  <c r="M281" i="1" l="1"/>
  <c r="S281" i="1" s="1"/>
  <c r="I327" i="1"/>
  <c r="J327" i="1" s="1"/>
  <c r="P327" i="1" s="1"/>
  <c r="N338" i="1"/>
  <c r="R281" i="1" l="1"/>
  <c r="T293" i="1"/>
  <c r="AE281" i="1"/>
  <c r="AF281" i="1"/>
  <c r="X281" i="1"/>
  <c r="AC281" i="1"/>
  <c r="O281" i="1"/>
  <c r="W327" i="1"/>
  <c r="E328" i="1"/>
  <c r="AD281" i="1" l="1"/>
  <c r="U281" i="1"/>
  <c r="Y281" i="1"/>
  <c r="V281" i="1"/>
  <c r="H328" i="1"/>
  <c r="G328" i="1" s="1"/>
  <c r="K282" i="1" l="1"/>
  <c r="AB281" i="1"/>
  <c r="N339" i="1"/>
  <c r="I328" i="1"/>
  <c r="J328" i="1" s="1"/>
  <c r="P328" i="1" s="1"/>
  <c r="M282" i="1" l="1"/>
  <c r="R282" i="1" s="1"/>
  <c r="W328" i="1"/>
  <c r="E329" i="1"/>
  <c r="S282" i="1" l="1"/>
  <c r="T294" i="1"/>
  <c r="AF282" i="1"/>
  <c r="AE282" i="1"/>
  <c r="O282" i="1"/>
  <c r="H329" i="1"/>
  <c r="G329" i="1" s="1"/>
  <c r="X282" i="1" l="1"/>
  <c r="AC282" i="1"/>
  <c r="AD282" i="1"/>
  <c r="U282" i="1"/>
  <c r="V282" i="1"/>
  <c r="Y282" i="1"/>
  <c r="N340" i="1"/>
  <c r="I329" i="1"/>
  <c r="J329" i="1" s="1"/>
  <c r="P329" i="1" s="1"/>
  <c r="K283" i="1" l="1"/>
  <c r="AB282" i="1"/>
  <c r="W329" i="1"/>
  <c r="E330" i="1"/>
  <c r="M283" i="1" l="1"/>
  <c r="S283" i="1" s="1"/>
  <c r="H330" i="1"/>
  <c r="G330" i="1" s="1"/>
  <c r="R283" i="1" l="1"/>
  <c r="AD283" i="1" s="1"/>
  <c r="T295" i="1"/>
  <c r="AF283" i="1"/>
  <c r="AE283" i="1"/>
  <c r="X283" i="1"/>
  <c r="AC283" i="1"/>
  <c r="O283" i="1"/>
  <c r="N341" i="1"/>
  <c r="I330" i="1"/>
  <c r="J330" i="1" s="1"/>
  <c r="P330" i="1" s="1"/>
  <c r="U283" i="1" l="1"/>
  <c r="V283" i="1"/>
  <c r="Y283" i="1"/>
  <c r="W330" i="1"/>
  <c r="E331" i="1"/>
  <c r="AB283" i="1" l="1"/>
  <c r="K284" i="1"/>
  <c r="H331" i="1"/>
  <c r="G331" i="1" s="1"/>
  <c r="M284" i="1" l="1"/>
  <c r="S284" i="1" s="1"/>
  <c r="N342" i="1"/>
  <c r="I331" i="1"/>
  <c r="J331" i="1" s="1"/>
  <c r="P331" i="1" s="1"/>
  <c r="R284" i="1" l="1"/>
  <c r="U284" i="1" s="1"/>
  <c r="T296" i="1"/>
  <c r="AE284" i="1"/>
  <c r="AF284" i="1"/>
  <c r="X284" i="1"/>
  <c r="AD284" i="1"/>
  <c r="AC284" i="1"/>
  <c r="O284" i="1"/>
  <c r="W331" i="1"/>
  <c r="E332" i="1"/>
  <c r="V284" i="1" l="1"/>
  <c r="Y284" i="1"/>
  <c r="H332" i="1"/>
  <c r="G332" i="1" s="1"/>
  <c r="K285" i="1" l="1"/>
  <c r="AB284" i="1"/>
  <c r="N343" i="1"/>
  <c r="I332" i="1"/>
  <c r="J332" i="1" s="1"/>
  <c r="P332" i="1" s="1"/>
  <c r="M285" i="1" l="1"/>
  <c r="S285" i="1" s="1"/>
  <c r="W332" i="1"/>
  <c r="E333" i="1"/>
  <c r="R285" i="1" l="1"/>
  <c r="T297" i="1"/>
  <c r="AE285" i="1"/>
  <c r="AF285" i="1"/>
  <c r="X285" i="1"/>
  <c r="AC285" i="1"/>
  <c r="O285" i="1"/>
  <c r="H333" i="1"/>
  <c r="G333" i="1" s="1"/>
  <c r="U285" i="1" l="1"/>
  <c r="AD285" i="1"/>
  <c r="Y285" i="1"/>
  <c r="V285" i="1"/>
  <c r="N344" i="1"/>
  <c r="I333" i="1"/>
  <c r="J333" i="1" s="1"/>
  <c r="P333" i="1" s="1"/>
  <c r="K286" i="1" l="1"/>
  <c r="AB285" i="1"/>
  <c r="W333" i="1"/>
  <c r="E334" i="1"/>
  <c r="M286" i="1" l="1"/>
  <c r="S286" i="1" s="1"/>
  <c r="H334" i="1"/>
  <c r="G334" i="1" s="1"/>
  <c r="O286" i="1" l="1"/>
  <c r="R286" i="1"/>
  <c r="AD286" i="1" s="1"/>
  <c r="T298" i="1"/>
  <c r="AF286" i="1"/>
  <c r="AE286" i="1"/>
  <c r="X286" i="1"/>
  <c r="AC286" i="1"/>
  <c r="N345" i="1"/>
  <c r="I334" i="1"/>
  <c r="J334" i="1" s="1"/>
  <c r="P334" i="1" s="1"/>
  <c r="U286" i="1" l="1"/>
  <c r="V286" i="1"/>
  <c r="Y286" i="1"/>
  <c r="W334" i="1"/>
  <c r="E335" i="1"/>
  <c r="K287" i="1" l="1"/>
  <c r="AB286" i="1"/>
  <c r="H335" i="1"/>
  <c r="G335" i="1" s="1"/>
  <c r="M287" i="1" l="1"/>
  <c r="S287" i="1" s="1"/>
  <c r="I335" i="1"/>
  <c r="J335" i="1" s="1"/>
  <c r="P335" i="1" s="1"/>
  <c r="N346" i="1"/>
  <c r="R287" i="1" l="1"/>
  <c r="AD287" i="1" s="1"/>
  <c r="T299" i="1"/>
  <c r="AF287" i="1"/>
  <c r="AE287" i="1"/>
  <c r="X287" i="1"/>
  <c r="AC287" i="1"/>
  <c r="O287" i="1"/>
  <c r="W335" i="1"/>
  <c r="E336" i="1"/>
  <c r="U287" i="1" l="1"/>
  <c r="V287" i="1"/>
  <c r="Y287" i="1"/>
  <c r="H336" i="1"/>
  <c r="G336" i="1" s="1"/>
  <c r="K288" i="1" l="1"/>
  <c r="M288" i="1" s="1"/>
  <c r="S288" i="1" s="1"/>
  <c r="AB287" i="1"/>
  <c r="N347" i="1"/>
  <c r="I336" i="1"/>
  <c r="J336" i="1" s="1"/>
  <c r="P336" i="1" s="1"/>
  <c r="R288" i="1" l="1"/>
  <c r="AD288" i="1" s="1"/>
  <c r="T300" i="1"/>
  <c r="AE288" i="1"/>
  <c r="AF288" i="1"/>
  <c r="X288" i="1"/>
  <c r="AC288" i="1"/>
  <c r="O288" i="1"/>
  <c r="W336" i="1"/>
  <c r="E337" i="1"/>
  <c r="U288" i="1" l="1"/>
  <c r="V288" i="1"/>
  <c r="Y288" i="1"/>
  <c r="H337" i="1"/>
  <c r="G337" i="1" s="1"/>
  <c r="K289" i="1" l="1"/>
  <c r="AB288" i="1"/>
  <c r="N348" i="1"/>
  <c r="I337" i="1"/>
  <c r="J337" i="1" s="1"/>
  <c r="P337" i="1" s="1"/>
  <c r="M289" i="1" l="1"/>
  <c r="S289" i="1" s="1"/>
  <c r="W337" i="1"/>
  <c r="E338" i="1"/>
  <c r="R289" i="1" l="1"/>
  <c r="T301" i="1"/>
  <c r="AF289" i="1"/>
  <c r="AE289" i="1"/>
  <c r="X289" i="1"/>
  <c r="AC289" i="1"/>
  <c r="O289" i="1"/>
  <c r="H338" i="1"/>
  <c r="G338" i="1" s="1"/>
  <c r="AD289" i="1" l="1"/>
  <c r="U289" i="1"/>
  <c r="V289" i="1"/>
  <c r="Y289" i="1"/>
  <c r="N349" i="1"/>
  <c r="I338" i="1"/>
  <c r="J338" i="1" s="1"/>
  <c r="P338" i="1" s="1"/>
  <c r="K290" i="1" l="1"/>
  <c r="M290" i="1" s="1"/>
  <c r="S290" i="1" s="1"/>
  <c r="AB289" i="1"/>
  <c r="W338" i="1"/>
  <c r="E339" i="1"/>
  <c r="R290" i="1" l="1"/>
  <c r="AD290" i="1" s="1"/>
  <c r="T302" i="1"/>
  <c r="AE290" i="1"/>
  <c r="AF290" i="1"/>
  <c r="X290" i="1"/>
  <c r="AC290" i="1"/>
  <c r="O290" i="1"/>
  <c r="H339" i="1"/>
  <c r="G339" i="1" s="1"/>
  <c r="U290" i="1" l="1"/>
  <c r="V290" i="1"/>
  <c r="Y290" i="1"/>
  <c r="N350" i="1"/>
  <c r="I339" i="1"/>
  <c r="J339" i="1" s="1"/>
  <c r="P339" i="1" s="1"/>
  <c r="AB290" i="1" l="1"/>
  <c r="K291" i="1"/>
  <c r="W339" i="1"/>
  <c r="E340" i="1"/>
  <c r="M291" i="1" l="1"/>
  <c r="S291" i="1" s="1"/>
  <c r="H340" i="1"/>
  <c r="G340" i="1" s="1"/>
  <c r="R291" i="1" l="1"/>
  <c r="AD291" i="1" s="1"/>
  <c r="T303" i="1"/>
  <c r="AE291" i="1"/>
  <c r="AF291" i="1"/>
  <c r="X291" i="1"/>
  <c r="AC291" i="1"/>
  <c r="O291" i="1"/>
  <c r="N351" i="1"/>
  <c r="I340" i="1"/>
  <c r="J340" i="1" s="1"/>
  <c r="P340" i="1" s="1"/>
  <c r="Y291" i="1" l="1"/>
  <c r="U291" i="1"/>
  <c r="V291" i="1"/>
  <c r="W340" i="1"/>
  <c r="E341" i="1"/>
  <c r="K292" i="1" l="1"/>
  <c r="AB291" i="1"/>
  <c r="H341" i="1"/>
  <c r="G341" i="1" s="1"/>
  <c r="M292" i="1" l="1"/>
  <c r="S292" i="1" s="1"/>
  <c r="I341" i="1"/>
  <c r="J341" i="1" s="1"/>
  <c r="P341" i="1" s="1"/>
  <c r="N352" i="1"/>
  <c r="R292" i="1" l="1"/>
  <c r="T304" i="1"/>
  <c r="AE292" i="1"/>
  <c r="AF292" i="1"/>
  <c r="X292" i="1"/>
  <c r="AC292" i="1"/>
  <c r="O292" i="1"/>
  <c r="W341" i="1"/>
  <c r="E342" i="1"/>
  <c r="U292" i="1" l="1"/>
  <c r="AD292" i="1"/>
  <c r="V292" i="1"/>
  <c r="Y292" i="1"/>
  <c r="H342" i="1"/>
  <c r="G342" i="1" s="1"/>
  <c r="K293" i="1" l="1"/>
  <c r="AB292" i="1"/>
  <c r="I342" i="1"/>
  <c r="J342" i="1" s="1"/>
  <c r="P342" i="1" s="1"/>
  <c r="N353" i="1"/>
  <c r="M293" i="1" l="1"/>
  <c r="S293" i="1" s="1"/>
  <c r="W342" i="1"/>
  <c r="E343" i="1"/>
  <c r="R293" i="1" l="1"/>
  <c r="AD293" i="1" s="1"/>
  <c r="T305" i="1"/>
  <c r="AE293" i="1"/>
  <c r="AF293" i="1"/>
  <c r="X293" i="1"/>
  <c r="AC293" i="1"/>
  <c r="O293" i="1"/>
  <c r="H343" i="1"/>
  <c r="G343" i="1" s="1"/>
  <c r="U293" i="1" l="1"/>
  <c r="V293" i="1"/>
  <c r="Y293" i="1"/>
  <c r="N354" i="1"/>
  <c r="I343" i="1"/>
  <c r="J343" i="1" s="1"/>
  <c r="P343" i="1" s="1"/>
  <c r="AB293" i="1" l="1"/>
  <c r="K294" i="1"/>
  <c r="M294" i="1" s="1"/>
  <c r="W343" i="1"/>
  <c r="E344" i="1"/>
  <c r="S294" i="1" l="1"/>
  <c r="AD294" i="1" s="1"/>
  <c r="O294" i="1"/>
  <c r="R294" i="1"/>
  <c r="T306" i="1"/>
  <c r="AE294" i="1"/>
  <c r="AF294" i="1"/>
  <c r="H344" i="1"/>
  <c r="G344" i="1" s="1"/>
  <c r="X294" i="1" l="1"/>
  <c r="AC294" i="1"/>
  <c r="U294" i="1"/>
  <c r="V294" i="1"/>
  <c r="Y294" i="1"/>
  <c r="I344" i="1"/>
  <c r="J344" i="1" s="1"/>
  <c r="P344" i="1" s="1"/>
  <c r="N355" i="1"/>
  <c r="AB294" i="1" l="1"/>
  <c r="K295" i="1"/>
  <c r="W344" i="1"/>
  <c r="E345" i="1"/>
  <c r="M295" i="1" l="1"/>
  <c r="S295" i="1" s="1"/>
  <c r="H345" i="1"/>
  <c r="G345" i="1" s="1"/>
  <c r="R295" i="1" l="1"/>
  <c r="AD295" i="1" s="1"/>
  <c r="T307" i="1"/>
  <c r="AF295" i="1"/>
  <c r="AE295" i="1"/>
  <c r="X295" i="1"/>
  <c r="AC295" i="1"/>
  <c r="O295" i="1"/>
  <c r="N356" i="1"/>
  <c r="I345" i="1"/>
  <c r="J345" i="1" s="1"/>
  <c r="P345" i="1" s="1"/>
  <c r="U295" i="1" l="1"/>
  <c r="V295" i="1"/>
  <c r="Y295" i="1"/>
  <c r="W345" i="1"/>
  <c r="E346" i="1"/>
  <c r="AB295" i="1" l="1"/>
  <c r="K296" i="1"/>
  <c r="M296" i="1" s="1"/>
  <c r="H346" i="1"/>
  <c r="G346" i="1" s="1"/>
  <c r="O296" i="1" l="1"/>
  <c r="R296" i="1"/>
  <c r="S296" i="1"/>
  <c r="T308" i="1"/>
  <c r="AE296" i="1"/>
  <c r="AF296" i="1"/>
  <c r="AC296" i="1"/>
  <c r="I346" i="1"/>
  <c r="J346" i="1" s="1"/>
  <c r="P346" i="1" s="1"/>
  <c r="N357" i="1"/>
  <c r="X296" i="1" l="1"/>
  <c r="AD296" i="1"/>
  <c r="U296" i="1"/>
  <c r="V296" i="1"/>
  <c r="Y296" i="1"/>
  <c r="W346" i="1"/>
  <c r="E347" i="1"/>
  <c r="AB296" i="1" l="1"/>
  <c r="K297" i="1"/>
  <c r="H347" i="1"/>
  <c r="G347" i="1" s="1"/>
  <c r="M297" i="1" l="1"/>
  <c r="S297" i="1" s="1"/>
  <c r="N358" i="1"/>
  <c r="I347" i="1"/>
  <c r="J347" i="1" s="1"/>
  <c r="P347" i="1" s="1"/>
  <c r="R297" i="1" l="1"/>
  <c r="T309" i="1"/>
  <c r="AE297" i="1"/>
  <c r="AF297" i="1"/>
  <c r="X297" i="1"/>
  <c r="AD297" i="1"/>
  <c r="AC297" i="1"/>
  <c r="O297" i="1"/>
  <c r="W347" i="1"/>
  <c r="E348" i="1"/>
  <c r="U297" i="1" l="1"/>
  <c r="V297" i="1"/>
  <c r="Y297" i="1"/>
  <c r="H348" i="1"/>
  <c r="G348" i="1" s="1"/>
  <c r="AB297" i="1" l="1"/>
  <c r="K298" i="1"/>
  <c r="M298" i="1" s="1"/>
  <c r="S298" i="1" s="1"/>
  <c r="N359" i="1"/>
  <c r="I348" i="1"/>
  <c r="J348" i="1" s="1"/>
  <c r="P348" i="1" s="1"/>
  <c r="R298" i="1" l="1"/>
  <c r="T310" i="1"/>
  <c r="AF298" i="1"/>
  <c r="AE298" i="1"/>
  <c r="X298" i="1"/>
  <c r="AD298" i="1"/>
  <c r="AC298" i="1"/>
  <c r="O298" i="1"/>
  <c r="W348" i="1"/>
  <c r="E349" i="1"/>
  <c r="U298" i="1" l="1"/>
  <c r="V298" i="1"/>
  <c r="Y298" i="1"/>
  <c r="H349" i="1"/>
  <c r="G349" i="1" s="1"/>
  <c r="K299" i="1" l="1"/>
  <c r="AB298" i="1"/>
  <c r="I349" i="1"/>
  <c r="J349" i="1" s="1"/>
  <c r="P349" i="1" s="1"/>
  <c r="N360" i="1"/>
  <c r="M299" i="1" l="1"/>
  <c r="R299" i="1" s="1"/>
  <c r="W349" i="1"/>
  <c r="E350" i="1"/>
  <c r="S299" i="1" l="1"/>
  <c r="T311" i="1"/>
  <c r="AF299" i="1"/>
  <c r="AE299" i="1"/>
  <c r="O299" i="1"/>
  <c r="H350" i="1"/>
  <c r="G350" i="1" s="1"/>
  <c r="U299" i="1" l="1"/>
  <c r="X299" i="1"/>
  <c r="AC299" i="1"/>
  <c r="AD299" i="1"/>
  <c r="V299" i="1"/>
  <c r="Y299" i="1"/>
  <c r="I350" i="1"/>
  <c r="J350" i="1" s="1"/>
  <c r="P350" i="1" s="1"/>
  <c r="N361" i="1"/>
  <c r="K300" i="1" l="1"/>
  <c r="M300" i="1" s="1"/>
  <c r="R300" i="1" s="1"/>
  <c r="AB299" i="1"/>
  <c r="W350" i="1"/>
  <c r="E351" i="1"/>
  <c r="S300" i="1" l="1"/>
  <c r="T312" i="1"/>
  <c r="AE300" i="1"/>
  <c r="AF300" i="1"/>
  <c r="O300" i="1"/>
  <c r="H351" i="1"/>
  <c r="G351" i="1" s="1"/>
  <c r="AD300" i="1" l="1"/>
  <c r="X300" i="1"/>
  <c r="AC300" i="1"/>
  <c r="U300" i="1"/>
  <c r="V300" i="1"/>
  <c r="Y300" i="1"/>
  <c r="N362" i="1"/>
  <c r="I351" i="1"/>
  <c r="J351" i="1" s="1"/>
  <c r="P351" i="1" s="1"/>
  <c r="K301" i="1" l="1"/>
  <c r="AB300" i="1"/>
  <c r="W351" i="1"/>
  <c r="E352" i="1"/>
  <c r="M301" i="1" l="1"/>
  <c r="S301" i="1" s="1"/>
  <c r="H352" i="1"/>
  <c r="G352" i="1" s="1"/>
  <c r="R301" i="1" l="1"/>
  <c r="T313" i="1"/>
  <c r="AF301" i="1"/>
  <c r="AE301" i="1"/>
  <c r="X301" i="1"/>
  <c r="AC301" i="1"/>
  <c r="AD301" i="1"/>
  <c r="O301" i="1"/>
  <c r="I352" i="1"/>
  <c r="J352" i="1" s="1"/>
  <c r="P352" i="1" s="1"/>
  <c r="N363" i="1"/>
  <c r="U301" i="1" l="1"/>
  <c r="V301" i="1"/>
  <c r="Y301" i="1"/>
  <c r="W352" i="1"/>
  <c r="E353" i="1"/>
  <c r="K302" i="1" l="1"/>
  <c r="AB301" i="1"/>
  <c r="H353" i="1"/>
  <c r="G353" i="1" s="1"/>
  <c r="M302" i="1" l="1"/>
  <c r="R302" i="1" s="1"/>
  <c r="N364" i="1"/>
  <c r="I353" i="1"/>
  <c r="J353" i="1" s="1"/>
  <c r="P353" i="1" s="1"/>
  <c r="O302" i="1" l="1"/>
  <c r="S302" i="1"/>
  <c r="X302" i="1" s="1"/>
  <c r="T314" i="1"/>
  <c r="AE302" i="1"/>
  <c r="AF302" i="1"/>
  <c r="W353" i="1"/>
  <c r="E354" i="1"/>
  <c r="AD302" i="1" l="1"/>
  <c r="AC302" i="1"/>
  <c r="U302" i="1"/>
  <c r="V302" i="1"/>
  <c r="Y302" i="1"/>
  <c r="H354" i="1"/>
  <c r="G354" i="1" s="1"/>
  <c r="AB302" i="1" l="1"/>
  <c r="K303" i="1"/>
  <c r="I354" i="1"/>
  <c r="J354" i="1" s="1"/>
  <c r="P354" i="1" s="1"/>
  <c r="N365" i="1"/>
  <c r="M303" i="1" l="1"/>
  <c r="S303" i="1" s="1"/>
  <c r="W354" i="1"/>
  <c r="E355" i="1"/>
  <c r="R303" i="1" l="1"/>
  <c r="AD303" i="1" s="1"/>
  <c r="T315" i="1"/>
  <c r="AF303" i="1"/>
  <c r="AE303" i="1"/>
  <c r="X303" i="1"/>
  <c r="AC303" i="1"/>
  <c r="O303" i="1"/>
  <c r="H355" i="1"/>
  <c r="G355" i="1" s="1"/>
  <c r="U303" i="1" l="1"/>
  <c r="V303" i="1"/>
  <c r="Y303" i="1"/>
  <c r="I355" i="1"/>
  <c r="J355" i="1" s="1"/>
  <c r="P355" i="1" s="1"/>
  <c r="N366" i="1"/>
  <c r="K304" i="1" l="1"/>
  <c r="AB303" i="1"/>
  <c r="W355" i="1"/>
  <c r="E356" i="1"/>
  <c r="M304" i="1" l="1"/>
  <c r="S304" i="1" s="1"/>
  <c r="H356" i="1"/>
  <c r="G356" i="1" s="1"/>
  <c r="R304" i="1" l="1"/>
  <c r="AD304" i="1" s="1"/>
  <c r="T316" i="1"/>
  <c r="AF304" i="1"/>
  <c r="AE304" i="1"/>
  <c r="X304" i="1"/>
  <c r="AC304" i="1"/>
  <c r="O304" i="1"/>
  <c r="N367" i="1"/>
  <c r="I356" i="1"/>
  <c r="J356" i="1" s="1"/>
  <c r="P356" i="1" s="1"/>
  <c r="U304" i="1" l="1"/>
  <c r="V304" i="1"/>
  <c r="Y304" i="1"/>
  <c r="W356" i="1"/>
  <c r="E357" i="1"/>
  <c r="K305" i="1" l="1"/>
  <c r="AB304" i="1"/>
  <c r="H357" i="1"/>
  <c r="G357" i="1" s="1"/>
  <c r="M305" i="1" l="1"/>
  <c r="S305" i="1" s="1"/>
  <c r="N368" i="1"/>
  <c r="I357" i="1"/>
  <c r="J357" i="1" s="1"/>
  <c r="P357" i="1" s="1"/>
  <c r="R305" i="1" l="1"/>
  <c r="AD305" i="1" s="1"/>
  <c r="T317" i="1"/>
  <c r="AE305" i="1"/>
  <c r="AF305" i="1"/>
  <c r="X305" i="1"/>
  <c r="AC305" i="1"/>
  <c r="O305" i="1"/>
  <c r="W357" i="1"/>
  <c r="E358" i="1"/>
  <c r="U305" i="1" l="1"/>
  <c r="V305" i="1"/>
  <c r="Y305" i="1"/>
  <c r="H358" i="1"/>
  <c r="G358" i="1" s="1"/>
  <c r="K306" i="1" l="1"/>
  <c r="AB305" i="1"/>
  <c r="I358" i="1"/>
  <c r="J358" i="1" s="1"/>
  <c r="P358" i="1" s="1"/>
  <c r="N369" i="1"/>
  <c r="M306" i="1" l="1"/>
  <c r="S306" i="1" s="1"/>
  <c r="W358" i="1"/>
  <c r="E359" i="1"/>
  <c r="O306" i="1" l="1"/>
  <c r="R306" i="1"/>
  <c r="AD306" i="1" s="1"/>
  <c r="T318" i="1"/>
  <c r="AE306" i="1"/>
  <c r="AF306" i="1"/>
  <c r="X306" i="1"/>
  <c r="AC306" i="1"/>
  <c r="H359" i="1"/>
  <c r="G359" i="1" s="1"/>
  <c r="U306" i="1" l="1"/>
  <c r="V306" i="1"/>
  <c r="Y306" i="1"/>
  <c r="N370" i="1"/>
  <c r="I359" i="1"/>
  <c r="J359" i="1" s="1"/>
  <c r="P359" i="1" s="1"/>
  <c r="K307" i="1" l="1"/>
  <c r="AB306" i="1"/>
  <c r="W359" i="1"/>
  <c r="E360" i="1"/>
  <c r="M307" i="1" l="1"/>
  <c r="S307" i="1" s="1"/>
  <c r="H360" i="1"/>
  <c r="G360" i="1" s="1"/>
  <c r="R307" i="1" l="1"/>
  <c r="AD307" i="1" s="1"/>
  <c r="T319" i="1"/>
  <c r="AE307" i="1"/>
  <c r="AF307" i="1"/>
  <c r="X307" i="1"/>
  <c r="AC307" i="1"/>
  <c r="O307" i="1"/>
  <c r="I360" i="1"/>
  <c r="J360" i="1" s="1"/>
  <c r="P360" i="1" s="1"/>
  <c r="N371" i="1"/>
  <c r="U307" i="1" l="1"/>
  <c r="V307" i="1"/>
  <c r="Y307" i="1"/>
  <c r="W360" i="1"/>
  <c r="E361" i="1"/>
  <c r="K308" i="1" l="1"/>
  <c r="AB307" i="1"/>
  <c r="H361" i="1"/>
  <c r="G361" i="1" s="1"/>
  <c r="M308" i="1" l="1"/>
  <c r="S308" i="1" s="1"/>
  <c r="I361" i="1"/>
  <c r="J361" i="1" s="1"/>
  <c r="P361" i="1" s="1"/>
  <c r="N372" i="1"/>
  <c r="R308" i="1" l="1"/>
  <c r="T320" i="1"/>
  <c r="AF308" i="1"/>
  <c r="AE308" i="1"/>
  <c r="X308" i="1"/>
  <c r="AC308" i="1"/>
  <c r="O308" i="1"/>
  <c r="W361" i="1"/>
  <c r="E362" i="1"/>
  <c r="AD308" i="1" l="1"/>
  <c r="U308" i="1"/>
  <c r="Y308" i="1"/>
  <c r="V308" i="1"/>
  <c r="H362" i="1"/>
  <c r="G362" i="1" s="1"/>
  <c r="K309" i="1" l="1"/>
  <c r="AB308" i="1"/>
  <c r="I362" i="1"/>
  <c r="J362" i="1" s="1"/>
  <c r="P362" i="1" s="1"/>
  <c r="N373" i="1"/>
  <c r="M309" i="1" l="1"/>
  <c r="S309" i="1" s="1"/>
  <c r="W362" i="1"/>
  <c r="E363" i="1"/>
  <c r="R309" i="1" l="1"/>
  <c r="AD309" i="1" s="1"/>
  <c r="T321" i="1"/>
  <c r="AF309" i="1"/>
  <c r="AE309" i="1"/>
  <c r="X309" i="1"/>
  <c r="AC309" i="1"/>
  <c r="O309" i="1"/>
  <c r="H363" i="1"/>
  <c r="G363" i="1" s="1"/>
  <c r="U309" i="1" l="1"/>
  <c r="V309" i="1"/>
  <c r="Y309" i="1"/>
  <c r="N374" i="1"/>
  <c r="I363" i="1"/>
  <c r="J363" i="1" s="1"/>
  <c r="P363" i="1" s="1"/>
  <c r="AB309" i="1" l="1"/>
  <c r="K310" i="1"/>
  <c r="M310" i="1" s="1"/>
  <c r="S310" i="1" s="1"/>
  <c r="W363" i="1"/>
  <c r="E364" i="1"/>
  <c r="O310" i="1" l="1"/>
  <c r="R310" i="1"/>
  <c r="AD310" i="1" s="1"/>
  <c r="T322" i="1"/>
  <c r="AF310" i="1"/>
  <c r="AE310" i="1"/>
  <c r="X310" i="1"/>
  <c r="AC310" i="1"/>
  <c r="H364" i="1"/>
  <c r="G364" i="1" s="1"/>
  <c r="U310" i="1" l="1"/>
  <c r="V310" i="1"/>
  <c r="Y310" i="1"/>
  <c r="N375" i="1"/>
  <c r="I364" i="1"/>
  <c r="J364" i="1" s="1"/>
  <c r="P364" i="1" s="1"/>
  <c r="AB310" i="1" l="1"/>
  <c r="K311" i="1"/>
  <c r="W364" i="1"/>
  <c r="E365" i="1"/>
  <c r="M311" i="1" l="1"/>
  <c r="R311" i="1" s="1"/>
  <c r="H365" i="1"/>
  <c r="G365" i="1" s="1"/>
  <c r="S311" i="1" l="1"/>
  <c r="AD311" i="1" s="1"/>
  <c r="T323" i="1"/>
  <c r="AE311" i="1"/>
  <c r="AF311" i="1"/>
  <c r="O311" i="1"/>
  <c r="N376" i="1"/>
  <c r="I365" i="1"/>
  <c r="J365" i="1" s="1"/>
  <c r="P365" i="1" s="1"/>
  <c r="X311" i="1" l="1"/>
  <c r="AC311" i="1"/>
  <c r="U311" i="1"/>
  <c r="V311" i="1"/>
  <c r="Y311" i="1"/>
  <c r="W365" i="1"/>
  <c r="E366" i="1"/>
  <c r="K312" i="1" l="1"/>
  <c r="AB311" i="1"/>
  <c r="H366" i="1"/>
  <c r="G366" i="1" s="1"/>
  <c r="M312" i="1" l="1"/>
  <c r="S312" i="1" s="1"/>
  <c r="N377" i="1"/>
  <c r="I366" i="1"/>
  <c r="J366" i="1" s="1"/>
  <c r="P366" i="1" s="1"/>
  <c r="R312" i="1" l="1"/>
  <c r="AD312" i="1" s="1"/>
  <c r="T324" i="1"/>
  <c r="AF312" i="1"/>
  <c r="AE312" i="1"/>
  <c r="X312" i="1"/>
  <c r="AC312" i="1"/>
  <c r="O312" i="1"/>
  <c r="W366" i="1"/>
  <c r="E367" i="1"/>
  <c r="U312" i="1" l="1"/>
  <c r="V312" i="1"/>
  <c r="Y312" i="1"/>
  <c r="H367" i="1"/>
  <c r="G367" i="1" s="1"/>
  <c r="K313" i="1" l="1"/>
  <c r="AB312" i="1"/>
  <c r="N378" i="1"/>
  <c r="I367" i="1"/>
  <c r="J367" i="1" s="1"/>
  <c r="P367" i="1" s="1"/>
  <c r="M313" i="1" l="1"/>
  <c r="R313" i="1" s="1"/>
  <c r="W367" i="1"/>
  <c r="E368" i="1"/>
  <c r="S313" i="1" l="1"/>
  <c r="T325" i="1"/>
  <c r="AF313" i="1"/>
  <c r="AE313" i="1"/>
  <c r="O313" i="1"/>
  <c r="H368" i="1"/>
  <c r="G368" i="1" s="1"/>
  <c r="AC313" i="1" l="1"/>
  <c r="AD313" i="1"/>
  <c r="X313" i="1"/>
  <c r="U313" i="1"/>
  <c r="V313" i="1"/>
  <c r="Y313" i="1"/>
  <c r="I368" i="1"/>
  <c r="J368" i="1" s="1"/>
  <c r="P368" i="1" s="1"/>
  <c r="N379" i="1"/>
  <c r="K314" i="1" l="1"/>
  <c r="M314" i="1" s="1"/>
  <c r="S314" i="1" s="1"/>
  <c r="AB313" i="1"/>
  <c r="W368" i="1"/>
  <c r="E369" i="1"/>
  <c r="R314" i="1" l="1"/>
  <c r="AD314" i="1" s="1"/>
  <c r="T326" i="1"/>
  <c r="AF314" i="1"/>
  <c r="AE314" i="1"/>
  <c r="X314" i="1"/>
  <c r="AC314" i="1"/>
  <c r="O314" i="1"/>
  <c r="H369" i="1"/>
  <c r="G369" i="1" s="1"/>
  <c r="U314" i="1" l="1"/>
  <c r="V314" i="1"/>
  <c r="Y314" i="1"/>
  <c r="N380" i="1"/>
  <c r="I369" i="1"/>
  <c r="J369" i="1" s="1"/>
  <c r="P369" i="1" s="1"/>
  <c r="K315" i="1" l="1"/>
  <c r="AB314" i="1"/>
  <c r="W369" i="1"/>
  <c r="E370" i="1"/>
  <c r="M315" i="1" l="1"/>
  <c r="S315" i="1" s="1"/>
  <c r="H370" i="1"/>
  <c r="G370" i="1" s="1"/>
  <c r="R315" i="1" l="1"/>
  <c r="T327" i="1"/>
  <c r="AF315" i="1"/>
  <c r="AE315" i="1"/>
  <c r="X315" i="1"/>
  <c r="AD315" i="1"/>
  <c r="AC315" i="1"/>
  <c r="O315" i="1"/>
  <c r="N381" i="1"/>
  <c r="I370" i="1"/>
  <c r="J370" i="1" s="1"/>
  <c r="P370" i="1" s="1"/>
  <c r="U315" i="1" l="1"/>
  <c r="V315" i="1"/>
  <c r="Y315" i="1"/>
  <c r="W370" i="1"/>
  <c r="E371" i="1"/>
  <c r="K316" i="1" l="1"/>
  <c r="AB315" i="1"/>
  <c r="H371" i="1"/>
  <c r="G371" i="1" s="1"/>
  <c r="M316" i="1" l="1"/>
  <c r="R316" i="1" s="1"/>
  <c r="N382" i="1"/>
  <c r="I371" i="1"/>
  <c r="J371" i="1" s="1"/>
  <c r="P371" i="1" s="1"/>
  <c r="S316" i="1" l="1"/>
  <c r="T328" i="1"/>
  <c r="AF316" i="1"/>
  <c r="AE316" i="1"/>
  <c r="O316" i="1"/>
  <c r="W371" i="1"/>
  <c r="E372" i="1"/>
  <c r="X316" i="1" l="1"/>
  <c r="AD316" i="1"/>
  <c r="U316" i="1"/>
  <c r="AC316" i="1"/>
  <c r="V316" i="1"/>
  <c r="Y316" i="1"/>
  <c r="H372" i="1"/>
  <c r="G372" i="1" s="1"/>
  <c r="K317" i="1" l="1"/>
  <c r="AB316" i="1"/>
  <c r="I372" i="1"/>
  <c r="J372" i="1" s="1"/>
  <c r="P372" i="1" s="1"/>
  <c r="N383" i="1"/>
  <c r="M317" i="1" l="1"/>
  <c r="S317" i="1" s="1"/>
  <c r="W372" i="1"/>
  <c r="E373" i="1"/>
  <c r="R317" i="1" l="1"/>
  <c r="AD317" i="1" s="1"/>
  <c r="T329" i="1"/>
  <c r="AE317" i="1"/>
  <c r="AF317" i="1"/>
  <c r="X317" i="1"/>
  <c r="AC317" i="1"/>
  <c r="O317" i="1"/>
  <c r="H373" i="1"/>
  <c r="G373" i="1" s="1"/>
  <c r="U317" i="1" l="1"/>
  <c r="V317" i="1"/>
  <c r="Y317" i="1"/>
  <c r="N384" i="1"/>
  <c r="I373" i="1"/>
  <c r="J373" i="1" s="1"/>
  <c r="P373" i="1" s="1"/>
  <c r="AB317" i="1" l="1"/>
  <c r="K318" i="1"/>
  <c r="W373" i="1"/>
  <c r="E374" i="1"/>
  <c r="M318" i="1" l="1"/>
  <c r="S318" i="1" s="1"/>
  <c r="H374" i="1"/>
  <c r="G374" i="1" s="1"/>
  <c r="R318" i="1" l="1"/>
  <c r="AD318" i="1" s="1"/>
  <c r="T330" i="1"/>
  <c r="AE318" i="1"/>
  <c r="AF318" i="1"/>
  <c r="O318" i="1"/>
  <c r="X318" i="1"/>
  <c r="AC318" i="1"/>
  <c r="I374" i="1"/>
  <c r="J374" i="1" s="1"/>
  <c r="P374" i="1" s="1"/>
  <c r="N385" i="1"/>
  <c r="U318" i="1" l="1"/>
  <c r="V318" i="1"/>
  <c r="Y318" i="1"/>
  <c r="W374" i="1"/>
  <c r="E375" i="1"/>
  <c r="AB318" i="1" l="1"/>
  <c r="K319" i="1"/>
  <c r="H375" i="1"/>
  <c r="G375" i="1" s="1"/>
  <c r="M319" i="1" l="1"/>
  <c r="S319" i="1" s="1"/>
  <c r="N386" i="1"/>
  <c r="I375" i="1"/>
  <c r="J375" i="1" s="1"/>
  <c r="P375" i="1" s="1"/>
  <c r="R319" i="1" l="1"/>
  <c r="T331" i="1"/>
  <c r="AE319" i="1"/>
  <c r="AF319" i="1"/>
  <c r="X319" i="1"/>
  <c r="AC319" i="1"/>
  <c r="O319" i="1"/>
  <c r="W375" i="1"/>
  <c r="E376" i="1"/>
  <c r="U319" i="1" l="1"/>
  <c r="AD319" i="1"/>
  <c r="Y319" i="1"/>
  <c r="V319" i="1"/>
  <c r="H376" i="1"/>
  <c r="G376" i="1" s="1"/>
  <c r="K320" i="1" l="1"/>
  <c r="AB319" i="1"/>
  <c r="N387" i="1"/>
  <c r="I376" i="1"/>
  <c r="J376" i="1" s="1"/>
  <c r="P376" i="1" s="1"/>
  <c r="M320" i="1" l="1"/>
  <c r="S320" i="1" s="1"/>
  <c r="W376" i="1"/>
  <c r="E377" i="1"/>
  <c r="R320" i="1" l="1"/>
  <c r="AD320" i="1" s="1"/>
  <c r="T332" i="1"/>
  <c r="AF320" i="1"/>
  <c r="AE320" i="1"/>
  <c r="X320" i="1"/>
  <c r="AC320" i="1"/>
  <c r="O320" i="1"/>
  <c r="H377" i="1"/>
  <c r="G377" i="1" s="1"/>
  <c r="U320" i="1" l="1"/>
  <c r="V320" i="1"/>
  <c r="Y320" i="1"/>
  <c r="I377" i="1"/>
  <c r="J377" i="1" s="1"/>
  <c r="P377" i="1" s="1"/>
  <c r="N388" i="1"/>
  <c r="AB320" i="1" l="1"/>
  <c r="K321" i="1"/>
  <c r="W377" i="1"/>
  <c r="E378" i="1"/>
  <c r="M321" i="1" l="1"/>
  <c r="S321" i="1" s="1"/>
  <c r="H378" i="1"/>
  <c r="G378" i="1" s="1"/>
  <c r="R321" i="1" l="1"/>
  <c r="AD321" i="1" s="1"/>
  <c r="T333" i="1"/>
  <c r="AE321" i="1"/>
  <c r="AF321" i="1"/>
  <c r="X321" i="1"/>
  <c r="AC321" i="1"/>
  <c r="O321" i="1"/>
  <c r="N389" i="1"/>
  <c r="I378" i="1"/>
  <c r="J378" i="1" s="1"/>
  <c r="P378" i="1" s="1"/>
  <c r="U321" i="1" l="1"/>
  <c r="V321" i="1"/>
  <c r="Y321" i="1"/>
  <c r="W378" i="1"/>
  <c r="E379" i="1"/>
  <c r="K322" i="1" l="1"/>
  <c r="AB321" i="1"/>
  <c r="H379" i="1"/>
  <c r="G379" i="1" s="1"/>
  <c r="M322" i="1" l="1"/>
  <c r="I379" i="1"/>
  <c r="J379" i="1" s="1"/>
  <c r="P379" i="1" s="1"/>
  <c r="N390" i="1"/>
  <c r="S322" i="1" l="1"/>
  <c r="O322" i="1"/>
  <c r="R322" i="1"/>
  <c r="T334" i="1"/>
  <c r="AE322" i="1"/>
  <c r="AF322" i="1"/>
  <c r="W379" i="1"/>
  <c r="E380" i="1"/>
  <c r="X322" i="1" l="1"/>
  <c r="AC322" i="1"/>
  <c r="AD322" i="1"/>
  <c r="U322" i="1"/>
  <c r="V322" i="1"/>
  <c r="Y322" i="1"/>
  <c r="H380" i="1"/>
  <c r="G380" i="1" s="1"/>
  <c r="K323" i="1" l="1"/>
  <c r="AB322" i="1"/>
  <c r="N391" i="1"/>
  <c r="I380" i="1"/>
  <c r="J380" i="1" s="1"/>
  <c r="P380" i="1" s="1"/>
  <c r="M323" i="1" l="1"/>
  <c r="S323" i="1" s="1"/>
  <c r="W380" i="1"/>
  <c r="E381" i="1"/>
  <c r="R323" i="1" l="1"/>
  <c r="T335" i="1"/>
  <c r="AE323" i="1"/>
  <c r="AF323" i="1"/>
  <c r="X323" i="1"/>
  <c r="AC323" i="1"/>
  <c r="O323" i="1"/>
  <c r="H381" i="1"/>
  <c r="G381" i="1" s="1"/>
  <c r="AD323" i="1" l="1"/>
  <c r="V323" i="1"/>
  <c r="U323" i="1"/>
  <c r="Y323" i="1"/>
  <c r="I381" i="1"/>
  <c r="J381" i="1" s="1"/>
  <c r="P381" i="1" s="1"/>
  <c r="AB323" i="1" l="1"/>
  <c r="K324" i="1"/>
  <c r="M324" i="1"/>
  <c r="S324" i="1" s="1"/>
  <c r="E382" i="1"/>
  <c r="W381" i="1"/>
  <c r="R324" i="1" l="1"/>
  <c r="T336" i="1"/>
  <c r="AF324" i="1"/>
  <c r="AE324" i="1"/>
  <c r="X324" i="1"/>
  <c r="AC324" i="1"/>
  <c r="O324" i="1"/>
  <c r="H382" i="1"/>
  <c r="G382" i="1" s="1"/>
  <c r="U324" i="1" l="1"/>
  <c r="AD324" i="1"/>
  <c r="I382" i="1"/>
  <c r="V324" i="1"/>
  <c r="Y324" i="1"/>
  <c r="J382" i="1" l="1"/>
  <c r="W382" i="1"/>
  <c r="K325" i="1"/>
  <c r="AB324" i="1"/>
  <c r="P382" i="1" l="1"/>
  <c r="E383" i="1"/>
  <c r="M325" i="1"/>
  <c r="S325" i="1" s="1"/>
  <c r="O325" i="1" l="1"/>
  <c r="R325" i="1"/>
  <c r="AD325" i="1" s="1"/>
  <c r="H383" i="1"/>
  <c r="G383" i="1" s="1"/>
  <c r="T337" i="1"/>
  <c r="AE325" i="1"/>
  <c r="AF325" i="1"/>
  <c r="X325" i="1"/>
  <c r="AC325" i="1"/>
  <c r="Y325" i="1" l="1"/>
  <c r="I383" i="1"/>
  <c r="U325" i="1"/>
  <c r="V325" i="1"/>
  <c r="J383" i="1" l="1"/>
  <c r="W383" i="1"/>
  <c r="K326" i="1"/>
  <c r="AB325" i="1"/>
  <c r="P383" i="1" l="1"/>
  <c r="E384" i="1"/>
  <c r="M326" i="1"/>
  <c r="S326" i="1" l="1"/>
  <c r="O326" i="1"/>
  <c r="R326" i="1"/>
  <c r="H384" i="1"/>
  <c r="G384" i="1" s="1"/>
  <c r="T338" i="1"/>
  <c r="AE326" i="1"/>
  <c r="AF326" i="1"/>
  <c r="AD326" i="1" l="1"/>
  <c r="X326" i="1"/>
  <c r="AC326" i="1"/>
  <c r="I384" i="1"/>
  <c r="U326" i="1"/>
  <c r="V326" i="1"/>
  <c r="Y326" i="1"/>
  <c r="J384" i="1" l="1"/>
  <c r="W384" i="1"/>
  <c r="K327" i="1"/>
  <c r="AB326" i="1"/>
  <c r="P384" i="1" l="1"/>
  <c r="E385" i="1"/>
  <c r="M327" i="1"/>
  <c r="R327" i="1" s="1"/>
  <c r="O327" i="1" l="1"/>
  <c r="H385" i="1"/>
  <c r="G385" i="1" s="1"/>
  <c r="S327" i="1"/>
  <c r="T339" i="1"/>
  <c r="AE327" i="1"/>
  <c r="AF327" i="1"/>
  <c r="AC327" i="1" l="1"/>
  <c r="AD327" i="1"/>
  <c r="Y327" i="1"/>
  <c r="X327" i="1"/>
  <c r="I385" i="1"/>
  <c r="J385" i="1" s="1"/>
  <c r="U327" i="1"/>
  <c r="V327" i="1"/>
  <c r="W385" i="1" l="1"/>
  <c r="P385" i="1"/>
  <c r="E386" i="1"/>
  <c r="AB327" i="1"/>
  <c r="K328" i="1"/>
  <c r="H386" i="1" l="1"/>
  <c r="G386" i="1" s="1"/>
  <c r="M328" i="1"/>
  <c r="S328" i="1" l="1"/>
  <c r="O328" i="1"/>
  <c r="R328" i="1"/>
  <c r="I386" i="1"/>
  <c r="J386" i="1" s="1"/>
  <c r="T340" i="1"/>
  <c r="AF328" i="1"/>
  <c r="AE328" i="1"/>
  <c r="AD328" i="1" l="1"/>
  <c r="X328" i="1"/>
  <c r="AC328" i="1"/>
  <c r="W386" i="1"/>
  <c r="P386" i="1"/>
  <c r="E387" i="1"/>
  <c r="U328" i="1"/>
  <c r="V328" i="1"/>
  <c r="Y328" i="1"/>
  <c r="H387" i="1" l="1"/>
  <c r="G387" i="1" s="1"/>
  <c r="AB328" i="1"/>
  <c r="K329" i="1"/>
  <c r="I387" i="1" l="1"/>
  <c r="M329" i="1"/>
  <c r="R329" i="1" s="1"/>
  <c r="J387" i="1" l="1"/>
  <c r="W387" i="1"/>
  <c r="S329" i="1"/>
  <c r="T341" i="1"/>
  <c r="AE329" i="1"/>
  <c r="AF329" i="1"/>
  <c r="O329" i="1"/>
  <c r="P387" i="1" l="1"/>
  <c r="E388" i="1"/>
  <c r="H388" i="1" s="1"/>
  <c r="G388" i="1" s="1"/>
  <c r="I388" i="1" s="1"/>
  <c r="J388" i="1" s="1"/>
  <c r="X329" i="1"/>
  <c r="AD329" i="1"/>
  <c r="AC329" i="1"/>
  <c r="Y329" i="1"/>
  <c r="U329" i="1"/>
  <c r="V329" i="1"/>
  <c r="P388" i="1" l="1"/>
  <c r="E389" i="1"/>
  <c r="W388" i="1"/>
  <c r="K330" i="1"/>
  <c r="AB329" i="1"/>
  <c r="H389" i="1" l="1"/>
  <c r="G389" i="1" s="1"/>
  <c r="M330" i="1"/>
  <c r="R330" i="1" s="1"/>
  <c r="S330" i="1" l="1"/>
  <c r="AD330" i="1" s="1"/>
  <c r="I389" i="1"/>
  <c r="J389" i="1" s="1"/>
  <c r="T342" i="1"/>
  <c r="AE330" i="1"/>
  <c r="AF330" i="1"/>
  <c r="O330" i="1"/>
  <c r="X330" i="1" l="1"/>
  <c r="AC330" i="1"/>
  <c r="P389" i="1"/>
  <c r="E390" i="1"/>
  <c r="W389" i="1"/>
  <c r="U330" i="1"/>
  <c r="V330" i="1"/>
  <c r="Y330" i="1"/>
  <c r="H390" i="1" l="1"/>
  <c r="G390" i="1" s="1"/>
  <c r="AB330" i="1"/>
  <c r="K331" i="1"/>
  <c r="I390" i="1" l="1"/>
  <c r="M331" i="1"/>
  <c r="S331" i="1" s="1"/>
  <c r="R331" i="1" l="1"/>
  <c r="J390" i="1"/>
  <c r="W390" i="1"/>
  <c r="T343" i="1"/>
  <c r="AF331" i="1"/>
  <c r="AE331" i="1"/>
  <c r="X331" i="1"/>
  <c r="AC331" i="1"/>
  <c r="O331" i="1"/>
  <c r="U331" i="1" l="1"/>
  <c r="AD331" i="1"/>
  <c r="P390" i="1"/>
  <c r="E391" i="1"/>
  <c r="V331" i="1"/>
  <c r="Y331" i="1"/>
  <c r="H391" i="1" l="1"/>
  <c r="G391" i="1" s="1"/>
  <c r="AB331" i="1"/>
  <c r="K332" i="1"/>
  <c r="H27" i="1" l="1"/>
  <c r="I391" i="1"/>
  <c r="W391" i="1" s="1"/>
  <c r="G27" i="1"/>
  <c r="M332" i="1"/>
  <c r="R332" i="1" s="1"/>
  <c r="X10" i="1" l="1"/>
  <c r="I27" i="1"/>
  <c r="J391" i="1"/>
  <c r="P391" i="1" s="1"/>
  <c r="W27" i="1"/>
  <c r="X4" i="1"/>
  <c r="S332" i="1"/>
  <c r="X332" i="1" s="1"/>
  <c r="T344" i="1"/>
  <c r="AE332" i="1"/>
  <c r="AF332" i="1"/>
  <c r="O332" i="1"/>
  <c r="U332" i="1" l="1"/>
  <c r="Z66" i="1"/>
  <c r="Z130" i="1"/>
  <c r="Z194" i="1"/>
  <c r="Z258" i="1"/>
  <c r="Z322" i="1"/>
  <c r="Z386" i="1"/>
  <c r="Z91" i="1"/>
  <c r="Z155" i="1"/>
  <c r="Z219" i="1"/>
  <c r="Z68" i="1"/>
  <c r="Z132" i="1"/>
  <c r="Z196" i="1"/>
  <c r="Z260" i="1"/>
  <c r="Z324" i="1"/>
  <c r="Z388" i="1"/>
  <c r="Z79" i="1"/>
  <c r="Z199" i="1"/>
  <c r="Z311" i="1"/>
  <c r="Z56" i="1"/>
  <c r="Z168" i="1"/>
  <c r="Z93" i="1"/>
  <c r="Z157" i="1"/>
  <c r="Z221" i="1"/>
  <c r="Z285" i="1"/>
  <c r="Z373" i="1"/>
  <c r="Z159" i="1"/>
  <c r="Z303" i="1"/>
  <c r="Z80" i="1"/>
  <c r="Z54" i="1"/>
  <c r="Z118" i="1"/>
  <c r="Z182" i="1"/>
  <c r="Z246" i="1"/>
  <c r="Z310" i="1"/>
  <c r="Z374" i="1"/>
  <c r="Z259" i="1"/>
  <c r="Z105" i="1"/>
  <c r="Z347" i="1"/>
  <c r="Z265" i="1"/>
  <c r="Z184" i="1"/>
  <c r="Z376" i="1"/>
  <c r="Z313" i="1"/>
  <c r="Z251" i="1"/>
  <c r="Z145" i="1"/>
  <c r="Z384" i="1"/>
  <c r="Z193" i="1"/>
  <c r="Z90" i="1"/>
  <c r="Z282" i="1"/>
  <c r="Z115" i="1"/>
  <c r="Z92" i="1"/>
  <c r="Z220" i="1"/>
  <c r="Z348" i="1"/>
  <c r="Z239" i="1"/>
  <c r="Z53" i="1"/>
  <c r="Z181" i="1"/>
  <c r="Z71" i="1"/>
  <c r="Z136" i="1"/>
  <c r="Z206" i="1"/>
  <c r="Z33" i="1"/>
  <c r="Z49" i="1"/>
  <c r="Z185" i="1"/>
  <c r="Z275" i="1"/>
  <c r="Z344" i="1"/>
  <c r="Z162" i="1"/>
  <c r="Z290" i="1"/>
  <c r="Z123" i="1"/>
  <c r="Z100" i="1"/>
  <c r="Z292" i="1"/>
  <c r="Z381" i="1"/>
  <c r="Z367" i="1"/>
  <c r="Z125" i="1"/>
  <c r="Z253" i="1"/>
  <c r="Z231" i="1"/>
  <c r="Z86" i="1"/>
  <c r="Z278" i="1"/>
  <c r="Z345" i="1"/>
  <c r="Z352" i="1"/>
  <c r="Z73" i="1"/>
  <c r="Z257" i="1"/>
  <c r="Z42" i="1"/>
  <c r="Z298" i="1"/>
  <c r="Z131" i="1"/>
  <c r="Z44" i="1"/>
  <c r="Z236" i="1"/>
  <c r="Z39" i="1"/>
  <c r="Z383" i="1"/>
  <c r="Z133" i="1"/>
  <c r="Z325" i="1"/>
  <c r="Z247" i="1"/>
  <c r="Z74" i="1"/>
  <c r="Z138" i="1"/>
  <c r="Z202" i="1"/>
  <c r="Z266" i="1"/>
  <c r="Z330" i="1"/>
  <c r="Z35" i="1"/>
  <c r="Z99" i="1"/>
  <c r="Z163" i="1"/>
  <c r="Z227" i="1"/>
  <c r="Z76" i="1"/>
  <c r="Z140" i="1"/>
  <c r="Z204" i="1"/>
  <c r="Z268" i="1"/>
  <c r="Z332" i="1"/>
  <c r="Z333" i="1"/>
  <c r="Z95" i="1"/>
  <c r="Z207" i="1"/>
  <c r="Z327" i="1"/>
  <c r="Z72" i="1"/>
  <c r="Z37" i="1"/>
  <c r="Z101" i="1"/>
  <c r="Z165" i="1"/>
  <c r="Z229" i="1"/>
  <c r="Z293" i="1"/>
  <c r="Z389" i="1"/>
  <c r="Z175" i="1"/>
  <c r="Z319" i="1"/>
  <c r="Z104" i="1"/>
  <c r="Z62" i="1"/>
  <c r="Z126" i="1"/>
  <c r="Z190" i="1"/>
  <c r="Z254" i="1"/>
  <c r="Z318" i="1"/>
  <c r="Z382" i="1"/>
  <c r="Z281" i="1"/>
  <c r="Z169" i="1"/>
  <c r="Z369" i="1"/>
  <c r="Z288" i="1"/>
  <c r="Z216" i="1"/>
  <c r="Z65" i="1"/>
  <c r="Z336" i="1"/>
  <c r="Z273" i="1"/>
  <c r="Z225" i="1"/>
  <c r="Z89" i="1"/>
  <c r="Z232" i="1"/>
  <c r="Z154" i="1"/>
  <c r="Z218" i="1"/>
  <c r="Z51" i="1"/>
  <c r="Z243" i="1"/>
  <c r="Z284" i="1"/>
  <c r="Z127" i="1"/>
  <c r="Z96" i="1"/>
  <c r="Z245" i="1"/>
  <c r="Z359" i="1"/>
  <c r="Z142" i="1"/>
  <c r="Z334" i="1"/>
  <c r="Z240" i="1"/>
  <c r="Z267" i="1"/>
  <c r="Z315" i="1"/>
  <c r="Z98" i="1"/>
  <c r="Z354" i="1"/>
  <c r="Z36" i="1"/>
  <c r="Z228" i="1"/>
  <c r="Z143" i="1"/>
  <c r="Z61" i="1"/>
  <c r="Z317" i="1"/>
  <c r="Z160" i="1"/>
  <c r="Z214" i="1"/>
  <c r="Z97" i="1"/>
  <c r="Z113" i="1"/>
  <c r="Z217" i="1"/>
  <c r="Z297" i="1"/>
  <c r="Z106" i="1"/>
  <c r="Z234" i="1"/>
  <c r="Z67" i="1"/>
  <c r="Z108" i="1"/>
  <c r="Z300" i="1"/>
  <c r="Z151" i="1"/>
  <c r="Z128" i="1"/>
  <c r="Z261" i="1"/>
  <c r="Z82" i="1"/>
  <c r="Z146" i="1"/>
  <c r="Z210" i="1"/>
  <c r="Z274" i="1"/>
  <c r="Z338" i="1"/>
  <c r="Z43" i="1"/>
  <c r="Z107" i="1"/>
  <c r="Z171" i="1"/>
  <c r="Z235" i="1"/>
  <c r="Z84" i="1"/>
  <c r="Z148" i="1"/>
  <c r="Z212" i="1"/>
  <c r="Z276" i="1"/>
  <c r="Z340" i="1"/>
  <c r="Z349" i="1"/>
  <c r="Z111" i="1"/>
  <c r="Z223" i="1"/>
  <c r="Z335" i="1"/>
  <c r="Z88" i="1"/>
  <c r="Z45" i="1"/>
  <c r="Z109" i="1"/>
  <c r="Z173" i="1"/>
  <c r="Z237" i="1"/>
  <c r="Z301" i="1"/>
  <c r="Z47" i="1"/>
  <c r="Z191" i="1"/>
  <c r="Z343" i="1"/>
  <c r="Z120" i="1"/>
  <c r="Z70" i="1"/>
  <c r="Z134" i="1"/>
  <c r="Z198" i="1"/>
  <c r="Z262" i="1"/>
  <c r="Z326" i="1"/>
  <c r="Z390" i="1"/>
  <c r="Z304" i="1"/>
  <c r="Z208" i="1"/>
  <c r="Z31" i="1"/>
  <c r="Z307" i="1"/>
  <c r="Z248" i="1"/>
  <c r="Z129" i="1"/>
  <c r="Z355" i="1"/>
  <c r="Z296" i="1"/>
  <c r="Z256" i="1"/>
  <c r="Z153" i="1"/>
  <c r="Z299" i="1"/>
  <c r="Z346" i="1"/>
  <c r="Z179" i="1"/>
  <c r="Z156" i="1"/>
  <c r="Z365" i="1"/>
  <c r="Z351" i="1"/>
  <c r="Z117" i="1"/>
  <c r="Z309" i="1"/>
  <c r="Z215" i="1"/>
  <c r="Z78" i="1"/>
  <c r="Z270" i="1"/>
  <c r="Z323" i="1"/>
  <c r="Z329" i="1"/>
  <c r="Z377" i="1"/>
  <c r="Z200" i="1"/>
  <c r="Z34" i="1"/>
  <c r="Z226" i="1"/>
  <c r="Z59" i="1"/>
  <c r="Z187" i="1"/>
  <c r="Z164" i="1"/>
  <c r="Z356" i="1"/>
  <c r="Z255" i="1"/>
  <c r="Z112" i="1"/>
  <c r="Z189" i="1"/>
  <c r="Z87" i="1"/>
  <c r="Z375" i="1"/>
  <c r="Z150" i="1"/>
  <c r="Z342" i="1"/>
  <c r="Z264" i="1"/>
  <c r="Z289" i="1"/>
  <c r="Z337" i="1"/>
  <c r="Z385" i="1"/>
  <c r="Z170" i="1"/>
  <c r="Z362" i="1"/>
  <c r="Z195" i="1"/>
  <c r="Z172" i="1"/>
  <c r="Z364" i="1"/>
  <c r="Z271" i="1"/>
  <c r="Z69" i="1"/>
  <c r="Z197" i="1"/>
  <c r="Z103" i="1"/>
  <c r="Z178" i="1"/>
  <c r="Z75" i="1"/>
  <c r="Z116" i="1"/>
  <c r="Z372" i="1"/>
  <c r="Z391" i="1"/>
  <c r="Z205" i="1"/>
  <c r="Z263" i="1"/>
  <c r="Z94" i="1"/>
  <c r="Z238" i="1"/>
  <c r="Z201" i="1"/>
  <c r="Z177" i="1"/>
  <c r="Z353" i="1"/>
  <c r="Z379" i="1"/>
  <c r="Z81" i="1"/>
  <c r="Z139" i="1"/>
  <c r="Z180" i="1"/>
  <c r="Z144" i="1"/>
  <c r="Z269" i="1"/>
  <c r="Z110" i="1"/>
  <c r="Z368" i="1"/>
  <c r="Z272" i="1"/>
  <c r="Z77" i="1"/>
  <c r="Z166" i="1"/>
  <c r="Z57" i="1"/>
  <c r="Z314" i="1"/>
  <c r="Z183" i="1"/>
  <c r="Z176" i="1"/>
  <c r="Z283" i="1"/>
  <c r="Z280" i="1"/>
  <c r="Z370" i="1"/>
  <c r="Z279" i="1"/>
  <c r="Z38" i="1"/>
  <c r="Z305" i="1"/>
  <c r="Z122" i="1"/>
  <c r="Z316" i="1"/>
  <c r="Z135" i="1"/>
  <c r="Z230" i="1"/>
  <c r="Z331" i="1"/>
  <c r="Z186" i="1"/>
  <c r="Z83" i="1"/>
  <c r="Z124" i="1"/>
  <c r="Z380" i="1"/>
  <c r="Z40" i="1"/>
  <c r="Z213" i="1"/>
  <c r="Z287" i="1"/>
  <c r="Z102" i="1"/>
  <c r="Z286" i="1"/>
  <c r="Z233" i="1"/>
  <c r="Z209" i="1"/>
  <c r="Z249" i="1"/>
  <c r="Z242" i="1"/>
  <c r="Z55" i="1"/>
  <c r="Z32" i="1"/>
  <c r="Z294" i="1"/>
  <c r="Z241" i="1"/>
  <c r="Z320" i="1"/>
  <c r="Z341" i="1"/>
  <c r="Z41" i="1"/>
  <c r="Z361" i="1"/>
  <c r="Z211" i="1"/>
  <c r="Z85" i="1"/>
  <c r="Z358" i="1"/>
  <c r="Z192" i="1"/>
  <c r="Z52" i="1"/>
  <c r="Z141" i="1"/>
  <c r="Z366" i="1"/>
  <c r="Z224" i="1"/>
  <c r="Z378" i="1"/>
  <c r="Z149" i="1"/>
  <c r="Z328" i="1"/>
  <c r="Z363" i="1"/>
  <c r="Z250" i="1"/>
  <c r="Z147" i="1"/>
  <c r="Z188" i="1"/>
  <c r="Z63" i="1"/>
  <c r="Z152" i="1"/>
  <c r="Z277" i="1"/>
  <c r="Z48" i="1"/>
  <c r="Z158" i="1"/>
  <c r="Z302" i="1"/>
  <c r="Z387" i="1"/>
  <c r="Z371" i="1"/>
  <c r="Z291" i="1"/>
  <c r="Z339" i="1"/>
  <c r="Z50" i="1"/>
  <c r="Z306" i="1"/>
  <c r="Z203" i="1"/>
  <c r="Z244" i="1"/>
  <c r="Z167" i="1"/>
  <c r="Z64" i="1"/>
  <c r="Z350" i="1"/>
  <c r="Z137" i="1"/>
  <c r="Z58" i="1"/>
  <c r="Z252" i="1"/>
  <c r="Z357" i="1"/>
  <c r="Z174" i="1"/>
  <c r="Z121" i="1"/>
  <c r="Z114" i="1"/>
  <c r="Z308" i="1"/>
  <c r="Z119" i="1"/>
  <c r="Z222" i="1"/>
  <c r="Z312" i="1"/>
  <c r="Z321" i="1"/>
  <c r="Z60" i="1"/>
  <c r="Z295" i="1"/>
  <c r="Z46" i="1"/>
  <c r="Z161" i="1"/>
  <c r="Z360" i="1"/>
  <c r="Y332" i="1"/>
  <c r="AD332" i="1"/>
  <c r="AC332" i="1"/>
  <c r="V332" i="1"/>
  <c r="X11" i="1" l="1"/>
  <c r="K333" i="1"/>
  <c r="AB332" i="1"/>
  <c r="M333" i="1" l="1"/>
  <c r="S333" i="1" s="1"/>
  <c r="R333" i="1" l="1"/>
  <c r="AD333" i="1" s="1"/>
  <c r="T345" i="1"/>
  <c r="AE333" i="1"/>
  <c r="AF333" i="1"/>
  <c r="O333" i="1"/>
  <c r="X333" i="1"/>
  <c r="AC333" i="1"/>
  <c r="Y333" i="1" l="1"/>
  <c r="U333" i="1"/>
  <c r="V333" i="1"/>
  <c r="K334" i="1" l="1"/>
  <c r="AB333" i="1"/>
  <c r="M334" i="1" l="1"/>
  <c r="S334" i="1" s="1"/>
  <c r="R334" i="1" l="1"/>
  <c r="AD334" i="1" s="1"/>
  <c r="T346" i="1"/>
  <c r="AE334" i="1"/>
  <c r="AF334" i="1"/>
  <c r="X334" i="1"/>
  <c r="AC334" i="1"/>
  <c r="O334" i="1"/>
  <c r="U334" i="1" l="1"/>
  <c r="V334" i="1"/>
  <c r="Y334" i="1"/>
  <c r="AB334" i="1" l="1"/>
  <c r="K335" i="1"/>
  <c r="X7" i="1"/>
  <c r="M335" i="1" l="1"/>
  <c r="S335" i="1" s="1"/>
  <c r="R335" i="1" l="1"/>
  <c r="AD335" i="1" s="1"/>
  <c r="T347" i="1"/>
  <c r="AF335" i="1"/>
  <c r="AE335" i="1"/>
  <c r="O335" i="1"/>
  <c r="X335" i="1"/>
  <c r="AC335" i="1"/>
  <c r="U335" i="1" l="1"/>
  <c r="V335" i="1"/>
  <c r="Y335" i="1"/>
  <c r="AB335" i="1" l="1"/>
  <c r="K336" i="1"/>
  <c r="M336" i="1" l="1"/>
  <c r="R336" i="1" l="1"/>
  <c r="O336" i="1"/>
  <c r="S336" i="1"/>
  <c r="T348" i="1"/>
  <c r="AE336" i="1"/>
  <c r="AF336" i="1"/>
  <c r="X336" i="1" l="1"/>
  <c r="AD336" i="1"/>
  <c r="AC336" i="1"/>
  <c r="U336" i="1"/>
  <c r="V336" i="1"/>
  <c r="Y336" i="1"/>
  <c r="K337" i="1" l="1"/>
  <c r="M337" i="1" s="1"/>
  <c r="S337" i="1" s="1"/>
  <c r="AB336" i="1"/>
  <c r="O337" i="1" l="1"/>
  <c r="R337" i="1"/>
  <c r="AD337" i="1" s="1"/>
  <c r="T349" i="1"/>
  <c r="AF337" i="1"/>
  <c r="AE337" i="1"/>
  <c r="X337" i="1"/>
  <c r="AC337" i="1"/>
  <c r="Y337" i="1" l="1"/>
  <c r="U337" i="1"/>
  <c r="V337" i="1"/>
  <c r="AB337" i="1" l="1"/>
  <c r="K338" i="1"/>
  <c r="M338" i="1" l="1"/>
  <c r="S338" i="1" s="1"/>
  <c r="R338" i="1" l="1"/>
  <c r="AD338" i="1" s="1"/>
  <c r="T350" i="1"/>
  <c r="AF338" i="1"/>
  <c r="AE338" i="1"/>
  <c r="O338" i="1"/>
  <c r="X338" i="1"/>
  <c r="AC338" i="1"/>
  <c r="Y338" i="1" l="1"/>
  <c r="U338" i="1"/>
  <c r="V338" i="1"/>
  <c r="K339" i="1" l="1"/>
  <c r="M339" i="1" s="1"/>
  <c r="S339" i="1" s="1"/>
  <c r="AB338" i="1"/>
  <c r="R339" i="1" l="1"/>
  <c r="AD339" i="1" s="1"/>
  <c r="AF339" i="1"/>
  <c r="AE339" i="1"/>
  <c r="X339" i="1"/>
  <c r="AC339" i="1"/>
  <c r="O339" i="1"/>
  <c r="T351" i="1"/>
  <c r="U339" i="1" l="1"/>
  <c r="V339" i="1"/>
  <c r="Y339" i="1"/>
  <c r="K340" i="1" l="1"/>
  <c r="AB339" i="1"/>
  <c r="M340" i="1" l="1"/>
  <c r="S340" i="1" s="1"/>
  <c r="R340" i="1" l="1"/>
  <c r="AD340" i="1" s="1"/>
  <c r="AE340" i="1"/>
  <c r="AF340" i="1"/>
  <c r="X340" i="1"/>
  <c r="AC340" i="1"/>
  <c r="O340" i="1"/>
  <c r="T352" i="1"/>
  <c r="U340" i="1" l="1"/>
  <c r="V340" i="1"/>
  <c r="Y340" i="1"/>
  <c r="K341" i="1" l="1"/>
  <c r="AB340" i="1"/>
  <c r="M341" i="1" l="1"/>
  <c r="S341" i="1" s="1"/>
  <c r="R341" i="1" l="1"/>
  <c r="AD341" i="1" s="1"/>
  <c r="AF341" i="1"/>
  <c r="AE341" i="1"/>
  <c r="X341" i="1"/>
  <c r="AC341" i="1"/>
  <c r="O341" i="1"/>
  <c r="T353" i="1"/>
  <c r="U341" i="1" l="1"/>
  <c r="V341" i="1"/>
  <c r="Y341" i="1"/>
  <c r="AB341" i="1" l="1"/>
  <c r="K342" i="1"/>
  <c r="M342" i="1" l="1"/>
  <c r="S342" i="1" s="1"/>
  <c r="R342" i="1" l="1"/>
  <c r="AD342" i="1" s="1"/>
  <c r="AF342" i="1"/>
  <c r="AE342" i="1"/>
  <c r="X342" i="1"/>
  <c r="AC342" i="1"/>
  <c r="O342" i="1"/>
  <c r="T354" i="1"/>
  <c r="U342" i="1" l="1"/>
  <c r="V342" i="1"/>
  <c r="Y342" i="1"/>
  <c r="K343" i="1" l="1"/>
  <c r="AB342" i="1"/>
  <c r="M343" i="1" l="1"/>
  <c r="S343" i="1" s="1"/>
  <c r="R343" i="1" l="1"/>
  <c r="AE343" i="1"/>
  <c r="AF343" i="1"/>
  <c r="X343" i="1"/>
  <c r="AD343" i="1"/>
  <c r="AC343" i="1"/>
  <c r="O343" i="1"/>
  <c r="T355" i="1"/>
  <c r="Y343" i="1" l="1"/>
  <c r="U343" i="1"/>
  <c r="V343" i="1"/>
  <c r="AB343" i="1" l="1"/>
  <c r="K344" i="1"/>
  <c r="M344" i="1" s="1"/>
  <c r="S344" i="1" s="1"/>
  <c r="R344" i="1" l="1"/>
  <c r="AF344" i="1"/>
  <c r="AE344" i="1"/>
  <c r="X344" i="1"/>
  <c r="AC344" i="1"/>
  <c r="O344" i="1"/>
  <c r="T356" i="1"/>
  <c r="U344" i="1" l="1"/>
  <c r="AD344" i="1"/>
  <c r="V344" i="1"/>
  <c r="Y344" i="1"/>
  <c r="K345" i="1" l="1"/>
  <c r="AB344" i="1"/>
  <c r="M345" i="1" l="1"/>
  <c r="S345" i="1" s="1"/>
  <c r="R345" i="1" l="1"/>
  <c r="AD345" i="1" s="1"/>
  <c r="AE345" i="1"/>
  <c r="AF345" i="1"/>
  <c r="X345" i="1"/>
  <c r="AC345" i="1"/>
  <c r="O345" i="1"/>
  <c r="T357" i="1"/>
  <c r="U345" i="1" l="1"/>
  <c r="V345" i="1"/>
  <c r="Y345" i="1"/>
  <c r="K346" i="1" l="1"/>
  <c r="AB345" i="1"/>
  <c r="M346" i="1" l="1"/>
  <c r="S346" i="1" s="1"/>
  <c r="R346" i="1" l="1"/>
  <c r="AF346" i="1"/>
  <c r="AE346" i="1"/>
  <c r="X346" i="1"/>
  <c r="AC346" i="1"/>
  <c r="O346" i="1"/>
  <c r="T358" i="1"/>
  <c r="U346" i="1" l="1"/>
  <c r="AD346" i="1"/>
  <c r="V346" i="1"/>
  <c r="Y346" i="1"/>
  <c r="K347" i="1" l="1"/>
  <c r="AB346" i="1"/>
  <c r="M347" i="1" l="1"/>
  <c r="S347" i="1" s="1"/>
  <c r="R347" i="1" l="1"/>
  <c r="AD347" i="1" s="1"/>
  <c r="AF347" i="1"/>
  <c r="AE347" i="1"/>
  <c r="X347" i="1"/>
  <c r="AC347" i="1"/>
  <c r="O347" i="1"/>
  <c r="T359" i="1"/>
  <c r="V347" i="1" l="1"/>
  <c r="U347" i="1"/>
  <c r="Y347" i="1"/>
  <c r="K348" i="1" l="1"/>
  <c r="M348" i="1" s="1"/>
  <c r="AB347" i="1"/>
  <c r="O348" i="1" l="1"/>
  <c r="S348" i="1"/>
  <c r="R348" i="1"/>
  <c r="T360" i="1"/>
  <c r="AF348" i="1"/>
  <c r="AE348" i="1"/>
  <c r="Y348" i="1" l="1"/>
  <c r="X348" i="1"/>
  <c r="AC348" i="1"/>
  <c r="AD348" i="1"/>
  <c r="V348" i="1"/>
  <c r="U348" i="1"/>
  <c r="AB348" i="1" l="1"/>
  <c r="K349" i="1"/>
  <c r="M349" i="1" s="1"/>
  <c r="S349" i="1" s="1"/>
  <c r="R349" i="1" l="1"/>
  <c r="T361" i="1"/>
  <c r="AE349" i="1"/>
  <c r="AF349" i="1"/>
  <c r="X349" i="1"/>
  <c r="AC349" i="1"/>
  <c r="AD349" i="1"/>
  <c r="O349" i="1"/>
  <c r="U349" i="1" l="1"/>
  <c r="V349" i="1"/>
  <c r="Y349" i="1"/>
  <c r="AB349" i="1" l="1"/>
  <c r="K350" i="1"/>
  <c r="M350" i="1" l="1"/>
  <c r="R350" i="1" s="1"/>
  <c r="S350" i="1" l="1"/>
  <c r="AD350" i="1" s="1"/>
  <c r="T362" i="1"/>
  <c r="AF350" i="1"/>
  <c r="AE350" i="1"/>
  <c r="O350" i="1"/>
  <c r="X350" i="1" l="1"/>
  <c r="AC350" i="1"/>
  <c r="Y350" i="1"/>
  <c r="U350" i="1"/>
  <c r="V350" i="1"/>
  <c r="K351" i="1" l="1"/>
  <c r="M351" i="1" s="1"/>
  <c r="S351" i="1" s="1"/>
  <c r="AB350" i="1"/>
  <c r="R351" i="1" l="1"/>
  <c r="U351" i="1" s="1"/>
  <c r="T363" i="1"/>
  <c r="AF351" i="1"/>
  <c r="AE351" i="1"/>
  <c r="X351" i="1"/>
  <c r="AD351" i="1"/>
  <c r="AC351" i="1"/>
  <c r="O351" i="1"/>
  <c r="Y351" i="1" l="1"/>
  <c r="V351" i="1"/>
  <c r="K352" i="1" l="1"/>
  <c r="AB351" i="1"/>
  <c r="M352" i="1" l="1"/>
  <c r="S352" i="1" s="1"/>
  <c r="R352" i="1" l="1"/>
  <c r="AD352" i="1" s="1"/>
  <c r="T364" i="1"/>
  <c r="AE352" i="1"/>
  <c r="AF352" i="1"/>
  <c r="X352" i="1"/>
  <c r="AC352" i="1"/>
  <c r="O352" i="1"/>
  <c r="U352" i="1" l="1"/>
  <c r="V352" i="1"/>
  <c r="Y352" i="1"/>
  <c r="AB352" i="1" l="1"/>
  <c r="K353" i="1"/>
  <c r="M353" i="1" l="1"/>
  <c r="S353" i="1" s="1"/>
  <c r="R353" i="1" l="1"/>
  <c r="AD353" i="1" s="1"/>
  <c r="AF353" i="1"/>
  <c r="AE353" i="1"/>
  <c r="X353" i="1"/>
  <c r="AC353" i="1"/>
  <c r="O353" i="1"/>
  <c r="T365" i="1"/>
  <c r="U353" i="1" l="1"/>
  <c r="V353" i="1"/>
  <c r="Y353" i="1"/>
  <c r="K354" i="1" l="1"/>
  <c r="AB353" i="1"/>
  <c r="M354" i="1" l="1"/>
  <c r="S354" i="1" s="1"/>
  <c r="R354" i="1" l="1"/>
  <c r="AD354" i="1" s="1"/>
  <c r="T366" i="1"/>
  <c r="AF354" i="1"/>
  <c r="AE354" i="1"/>
  <c r="X354" i="1"/>
  <c r="AC354" i="1"/>
  <c r="O354" i="1"/>
  <c r="Y354" i="1" l="1"/>
  <c r="U354" i="1"/>
  <c r="V354" i="1"/>
  <c r="K355" i="1" l="1"/>
  <c r="AB354" i="1"/>
  <c r="M355" i="1" l="1"/>
  <c r="R355" i="1" s="1"/>
  <c r="O355" i="1" l="1"/>
  <c r="T367" i="1"/>
  <c r="AE355" i="1"/>
  <c r="S355" i="1"/>
  <c r="AF355" i="1"/>
  <c r="V355" i="1" l="1"/>
  <c r="Y355" i="1"/>
  <c r="U355" i="1"/>
  <c r="AD355" i="1"/>
  <c r="AC355" i="1"/>
  <c r="X355" i="1"/>
  <c r="K356" i="1" l="1"/>
  <c r="M356" i="1" s="1"/>
  <c r="R356" i="1" s="1"/>
  <c r="AB355" i="1"/>
  <c r="O356" i="1" l="1"/>
  <c r="T368" i="1"/>
  <c r="AE356" i="1"/>
  <c r="AF356" i="1"/>
  <c r="S356" i="1"/>
  <c r="X356" i="1" l="1"/>
  <c r="AC356" i="1"/>
  <c r="AD356" i="1"/>
  <c r="V356" i="1"/>
  <c r="Y356" i="1"/>
  <c r="U356" i="1"/>
  <c r="K357" i="1" l="1"/>
  <c r="AB356" i="1"/>
  <c r="M357" i="1" l="1"/>
  <c r="R357" i="1" s="1"/>
  <c r="T369" i="1" l="1"/>
  <c r="AE357" i="1"/>
  <c r="AF357" i="1"/>
  <c r="O357" i="1"/>
  <c r="S357" i="1"/>
  <c r="Y357" i="1" l="1"/>
  <c r="X357" i="1"/>
  <c r="AD357" i="1"/>
  <c r="AC357" i="1"/>
  <c r="V357" i="1"/>
  <c r="U357" i="1"/>
  <c r="K358" i="1" l="1"/>
  <c r="AB357" i="1"/>
  <c r="M358" i="1" l="1"/>
  <c r="R358" i="1" s="1"/>
  <c r="O358" i="1" l="1"/>
  <c r="T370" i="1"/>
  <c r="AE358" i="1"/>
  <c r="AF358" i="1"/>
  <c r="S358" i="1"/>
  <c r="X358" i="1" l="1"/>
  <c r="AC358" i="1"/>
  <c r="AD358" i="1"/>
  <c r="Y358" i="1"/>
  <c r="V358" i="1"/>
  <c r="U358" i="1"/>
  <c r="K359" i="1" l="1"/>
  <c r="AB358" i="1"/>
  <c r="M359" i="1" l="1"/>
  <c r="R359" i="1" s="1"/>
  <c r="O359" i="1" l="1"/>
  <c r="AF359" i="1"/>
  <c r="AE359" i="1"/>
  <c r="T371" i="1"/>
  <c r="S359" i="1"/>
  <c r="Y359" i="1" l="1"/>
  <c r="X359" i="1"/>
  <c r="AD359" i="1"/>
  <c r="AC359" i="1"/>
  <c r="V359" i="1"/>
  <c r="U359" i="1"/>
  <c r="K360" i="1" l="1"/>
  <c r="AB359" i="1"/>
  <c r="M360" i="1" l="1"/>
  <c r="R360" i="1" l="1"/>
  <c r="O360" i="1"/>
  <c r="AE360" i="1"/>
  <c r="AF360" i="1"/>
  <c r="T372" i="1"/>
  <c r="S360" i="1"/>
  <c r="Y360" i="1" l="1"/>
  <c r="X360" i="1"/>
  <c r="AD360" i="1"/>
  <c r="AC360" i="1"/>
  <c r="V360" i="1"/>
  <c r="U360" i="1"/>
  <c r="AB360" i="1" l="1"/>
  <c r="K361" i="1"/>
  <c r="M361" i="1" l="1"/>
  <c r="R361" i="1" l="1"/>
  <c r="O361" i="1"/>
  <c r="AE361" i="1"/>
  <c r="T373" i="1"/>
  <c r="AF361" i="1"/>
  <c r="S361" i="1"/>
  <c r="Y361" i="1" l="1"/>
  <c r="X361" i="1"/>
  <c r="AD361" i="1"/>
  <c r="AC361" i="1"/>
  <c r="V361" i="1"/>
  <c r="U361" i="1"/>
  <c r="AB361" i="1" l="1"/>
  <c r="K362" i="1"/>
  <c r="M362" i="1" l="1"/>
  <c r="R362" i="1" l="1"/>
  <c r="O362" i="1"/>
  <c r="AF362" i="1"/>
  <c r="AE362" i="1"/>
  <c r="T374" i="1"/>
  <c r="S362" i="1"/>
  <c r="Y362" i="1" l="1"/>
  <c r="AC362" i="1"/>
  <c r="AD362" i="1"/>
  <c r="X362" i="1"/>
  <c r="V362" i="1"/>
  <c r="U362" i="1"/>
  <c r="K363" i="1" l="1"/>
  <c r="AB362" i="1"/>
  <c r="M363" i="1" l="1"/>
  <c r="R363" i="1" l="1"/>
  <c r="O363" i="1"/>
  <c r="AF363" i="1"/>
  <c r="AE363" i="1"/>
  <c r="T375" i="1"/>
  <c r="S363" i="1"/>
  <c r="X363" i="1" l="1"/>
  <c r="AC363" i="1"/>
  <c r="AD363" i="1"/>
  <c r="V363" i="1"/>
  <c r="Y363" i="1"/>
  <c r="U363" i="1"/>
  <c r="K364" i="1" l="1"/>
  <c r="AB363" i="1"/>
  <c r="M364" i="1" l="1"/>
  <c r="O364" i="1" l="1"/>
  <c r="AF364" i="1"/>
  <c r="T376" i="1"/>
  <c r="AE364" i="1"/>
  <c r="R364" i="1"/>
  <c r="S364" i="1"/>
  <c r="U364" i="1" l="1"/>
  <c r="V364" i="1"/>
  <c r="AD364" i="1"/>
  <c r="X364" i="1"/>
  <c r="AC364" i="1"/>
  <c r="Y364" i="1"/>
  <c r="K365" i="1" l="1"/>
  <c r="AB364" i="1"/>
  <c r="M365" i="1" l="1"/>
  <c r="R365" i="1" s="1"/>
  <c r="O365" i="1" l="1"/>
  <c r="T377" i="1"/>
  <c r="AF365" i="1"/>
  <c r="AE365" i="1"/>
  <c r="S365" i="1"/>
  <c r="V365" i="1" s="1"/>
  <c r="Y365" i="1" l="1"/>
  <c r="AB365" i="1"/>
  <c r="K366" i="1"/>
  <c r="X365" i="1"/>
  <c r="AC365" i="1"/>
  <c r="AD365" i="1"/>
  <c r="U365" i="1"/>
  <c r="M366" i="1" l="1"/>
  <c r="S366" i="1" l="1"/>
  <c r="O366" i="1"/>
  <c r="T378" i="1"/>
  <c r="AE366" i="1"/>
  <c r="AF366" i="1"/>
  <c r="R366" i="1"/>
  <c r="Y366" i="1" l="1"/>
  <c r="AD366" i="1"/>
  <c r="X366" i="1"/>
  <c r="AC366" i="1"/>
  <c r="U366" i="1"/>
  <c r="V366" i="1"/>
  <c r="AB366" i="1" l="1"/>
  <c r="K367" i="1"/>
  <c r="M367" i="1" l="1"/>
  <c r="R367" i="1" l="1"/>
  <c r="O367" i="1"/>
  <c r="T379" i="1"/>
  <c r="AE367" i="1"/>
  <c r="AF367" i="1"/>
  <c r="S367" i="1"/>
  <c r="V367" i="1" l="1"/>
  <c r="Y367" i="1"/>
  <c r="X367" i="1"/>
  <c r="AD367" i="1"/>
  <c r="AC367" i="1"/>
  <c r="U367" i="1"/>
  <c r="K368" i="1" l="1"/>
  <c r="M368" i="1" s="1"/>
  <c r="AB367" i="1"/>
  <c r="R368" i="1" l="1"/>
  <c r="O368" i="1"/>
  <c r="T380" i="1"/>
  <c r="AE368" i="1"/>
  <c r="AF368" i="1"/>
  <c r="S368" i="1"/>
  <c r="Y368" i="1" l="1"/>
  <c r="X368" i="1"/>
  <c r="AC368" i="1"/>
  <c r="AD368" i="1"/>
  <c r="V368" i="1"/>
  <c r="U368" i="1"/>
  <c r="K369" i="1" l="1"/>
  <c r="AB368" i="1"/>
  <c r="M369" i="1" l="1"/>
  <c r="R369" i="1" l="1"/>
  <c r="O369" i="1"/>
  <c r="AE369" i="1"/>
  <c r="T381" i="1"/>
  <c r="AF369" i="1"/>
  <c r="S369" i="1"/>
  <c r="Y369" i="1" l="1"/>
  <c r="AC369" i="1"/>
  <c r="AD369" i="1"/>
  <c r="X369" i="1"/>
  <c r="V369" i="1"/>
  <c r="U369" i="1"/>
  <c r="K370" i="1" l="1"/>
  <c r="AB369" i="1"/>
  <c r="M370" i="1" l="1"/>
  <c r="O370" i="1" s="1"/>
  <c r="AF370" i="1" l="1"/>
  <c r="AE370" i="1"/>
  <c r="T382" i="1"/>
  <c r="R370" i="1"/>
  <c r="S370" i="1"/>
  <c r="AC370" i="1" l="1"/>
  <c r="X370" i="1"/>
  <c r="AD370" i="1"/>
  <c r="U370" i="1"/>
  <c r="V370" i="1"/>
  <c r="Y370" i="1"/>
  <c r="AB370" i="1" l="1"/>
  <c r="K371" i="1"/>
  <c r="M371" i="1" l="1"/>
  <c r="O371" i="1" s="1"/>
  <c r="T383" i="1" l="1"/>
  <c r="AF371" i="1"/>
  <c r="AE371" i="1"/>
  <c r="R371" i="1"/>
  <c r="S371" i="1"/>
  <c r="U371" i="1" l="1"/>
  <c r="V371" i="1"/>
  <c r="X371" i="1"/>
  <c r="AD371" i="1"/>
  <c r="AC371" i="1"/>
  <c r="Y371" i="1"/>
  <c r="AB371" i="1" l="1"/>
  <c r="K372" i="1"/>
  <c r="M372" i="1" l="1"/>
  <c r="R372" i="1" s="1"/>
  <c r="O372" i="1" l="1"/>
  <c r="T384" i="1"/>
  <c r="AE372" i="1"/>
  <c r="AF372" i="1"/>
  <c r="S372" i="1"/>
  <c r="V372" i="1" s="1"/>
  <c r="Y372" i="1" l="1"/>
  <c r="K373" i="1"/>
  <c r="AB372" i="1"/>
  <c r="X372" i="1"/>
  <c r="AC372" i="1"/>
  <c r="AD372" i="1"/>
  <c r="U372" i="1"/>
  <c r="M373" i="1" l="1"/>
  <c r="R373" i="1" l="1"/>
  <c r="O373" i="1"/>
  <c r="T385" i="1"/>
  <c r="AF373" i="1"/>
  <c r="AE373" i="1"/>
  <c r="S373" i="1"/>
  <c r="V373" i="1" l="1"/>
  <c r="Y373" i="1"/>
  <c r="X373" i="1"/>
  <c r="AC373" i="1"/>
  <c r="AD373" i="1"/>
  <c r="U373" i="1"/>
  <c r="K374" i="1" l="1"/>
  <c r="AB373" i="1"/>
  <c r="M374" i="1" l="1"/>
  <c r="T386" i="1" s="1"/>
  <c r="AF374" i="1" l="1"/>
  <c r="AE374" i="1"/>
  <c r="O374" i="1"/>
  <c r="R374" i="1"/>
  <c r="S374" i="1"/>
  <c r="Y374" i="1" l="1"/>
  <c r="X374" i="1"/>
  <c r="AC374" i="1"/>
  <c r="AD374" i="1"/>
  <c r="V374" i="1"/>
  <c r="U374" i="1"/>
  <c r="AB374" i="1" l="1"/>
  <c r="K375" i="1"/>
  <c r="M375" i="1" s="1"/>
  <c r="R375" i="1" s="1"/>
  <c r="O375" i="1" l="1"/>
  <c r="T387" i="1"/>
  <c r="AF375" i="1"/>
  <c r="AE375" i="1"/>
  <c r="S375" i="1"/>
  <c r="X375" i="1" l="1"/>
  <c r="AD375" i="1"/>
  <c r="AC375" i="1"/>
  <c r="Y375" i="1"/>
  <c r="V375" i="1"/>
  <c r="U375" i="1"/>
  <c r="K376" i="1" l="1"/>
  <c r="AB375" i="1"/>
  <c r="M376" i="1" l="1"/>
  <c r="S376" i="1" l="1"/>
  <c r="O376" i="1"/>
  <c r="T388" i="1"/>
  <c r="AE376" i="1"/>
  <c r="AF376" i="1"/>
  <c r="R376" i="1"/>
  <c r="X376" i="1" l="1"/>
  <c r="AC376" i="1"/>
  <c r="Y376" i="1"/>
  <c r="AD376" i="1"/>
  <c r="U376" i="1"/>
  <c r="V376" i="1"/>
  <c r="K377" i="1" l="1"/>
  <c r="AB376" i="1"/>
  <c r="M377" i="1" l="1"/>
  <c r="R377" i="1" s="1"/>
  <c r="O377" i="1" l="1"/>
  <c r="T389" i="1"/>
  <c r="AF377" i="1"/>
  <c r="AE377" i="1"/>
  <c r="S377" i="1"/>
  <c r="Y377" i="1" l="1"/>
  <c r="V377" i="1"/>
  <c r="X377" i="1"/>
  <c r="AC377" i="1"/>
  <c r="AD377" i="1"/>
  <c r="U377" i="1"/>
  <c r="AB377" i="1" l="1"/>
  <c r="K378" i="1"/>
  <c r="M378" i="1" s="1"/>
  <c r="R378" i="1" s="1"/>
  <c r="O378" i="1" l="1"/>
  <c r="T390" i="1"/>
  <c r="AE378" i="1"/>
  <c r="AF378" i="1"/>
  <c r="S378" i="1"/>
  <c r="V378" i="1" s="1"/>
  <c r="Y378" i="1" l="1"/>
  <c r="K379" i="1"/>
  <c r="AB378" i="1"/>
  <c r="X378" i="1"/>
  <c r="AD378" i="1"/>
  <c r="AC378" i="1"/>
  <c r="U378" i="1"/>
  <c r="M379" i="1" l="1"/>
  <c r="R379" i="1" l="1"/>
  <c r="O379" i="1"/>
  <c r="T391" i="1"/>
  <c r="T27" i="1" s="1"/>
  <c r="AE379" i="1"/>
  <c r="AF379" i="1"/>
  <c r="S379" i="1"/>
  <c r="Y379" i="1" l="1"/>
  <c r="V379" i="1"/>
  <c r="K380" i="1" s="1"/>
  <c r="X379" i="1"/>
  <c r="AD379" i="1"/>
  <c r="AC379" i="1"/>
  <c r="U379" i="1"/>
  <c r="AB379" i="1" l="1"/>
  <c r="M380" i="1"/>
  <c r="S380" i="1" s="1"/>
  <c r="O380" i="1" l="1"/>
  <c r="AE380" i="1"/>
  <c r="AF380" i="1"/>
  <c r="X380" i="1"/>
  <c r="AC380" i="1"/>
  <c r="R380" i="1"/>
  <c r="AD380" i="1" s="1"/>
  <c r="Y380" i="1" l="1"/>
  <c r="U380" i="1"/>
  <c r="V380" i="1"/>
  <c r="K381" i="1" l="1"/>
  <c r="AB380" i="1"/>
  <c r="M381" i="1" l="1"/>
  <c r="R381" i="1" s="1"/>
  <c r="O381" i="1" l="1"/>
  <c r="AF381" i="1"/>
  <c r="AE381" i="1"/>
  <c r="S381" i="1"/>
  <c r="X381" i="1" l="1"/>
  <c r="AC381" i="1"/>
  <c r="AD381" i="1"/>
  <c r="Y381" i="1"/>
  <c r="V381" i="1"/>
  <c r="U381" i="1"/>
  <c r="K382" i="1" l="1"/>
  <c r="AB381" i="1"/>
  <c r="M382" i="1" l="1"/>
  <c r="R382" i="1" s="1"/>
  <c r="O382" i="1" l="1"/>
  <c r="AE382" i="1"/>
  <c r="AF382" i="1"/>
  <c r="S382" i="1"/>
  <c r="X382" i="1" l="1"/>
  <c r="AC382" i="1"/>
  <c r="AD382" i="1"/>
  <c r="V382" i="1"/>
  <c r="Y382" i="1"/>
  <c r="U382" i="1"/>
  <c r="K383" i="1" l="1"/>
  <c r="AB382" i="1"/>
  <c r="M383" i="1" l="1"/>
  <c r="R383" i="1" l="1"/>
  <c r="O383" i="1"/>
  <c r="AF383" i="1"/>
  <c r="AE383" i="1"/>
  <c r="S383" i="1"/>
  <c r="V383" i="1" l="1"/>
  <c r="X383" i="1"/>
  <c r="AD383" i="1"/>
  <c r="AC383" i="1"/>
  <c r="Y383" i="1"/>
  <c r="U383" i="1"/>
  <c r="K384" i="1" l="1"/>
  <c r="M384" i="1" s="1"/>
  <c r="AB383" i="1"/>
  <c r="S384" i="1" l="1"/>
  <c r="O384" i="1"/>
  <c r="AE384" i="1"/>
  <c r="AF384" i="1"/>
  <c r="R384" i="1"/>
  <c r="X384" i="1" l="1"/>
  <c r="AC384" i="1"/>
  <c r="Y384" i="1"/>
  <c r="AD384" i="1"/>
  <c r="U384" i="1"/>
  <c r="V384" i="1"/>
  <c r="AB384" i="1" l="1"/>
  <c r="K385" i="1"/>
  <c r="M385" i="1" l="1"/>
  <c r="S385" i="1" l="1"/>
  <c r="O385" i="1"/>
  <c r="AF385" i="1"/>
  <c r="AE385" i="1"/>
  <c r="R385" i="1"/>
  <c r="AD385" i="1" l="1"/>
  <c r="X385" i="1"/>
  <c r="AC385" i="1"/>
  <c r="Y385" i="1"/>
  <c r="U385" i="1"/>
  <c r="V385" i="1"/>
  <c r="K386" i="1" l="1"/>
  <c r="AB385" i="1"/>
  <c r="M386" i="1" l="1"/>
  <c r="O386" i="1" s="1"/>
  <c r="AE386" i="1" l="1"/>
  <c r="AF386" i="1"/>
  <c r="S386" i="1"/>
  <c r="R386" i="1"/>
  <c r="U386" i="1" l="1"/>
  <c r="V386" i="1"/>
  <c r="X386" i="1"/>
  <c r="AC386" i="1"/>
  <c r="AD386" i="1"/>
  <c r="Y386" i="1"/>
  <c r="K387" i="1" l="1"/>
  <c r="AB386" i="1"/>
  <c r="M387" i="1" l="1"/>
  <c r="S387" i="1" s="1"/>
  <c r="O387" i="1" l="1"/>
  <c r="X387" i="1"/>
  <c r="AC387" i="1"/>
  <c r="AE387" i="1"/>
  <c r="AF387" i="1"/>
  <c r="R387" i="1"/>
  <c r="AD387" i="1" s="1"/>
  <c r="Y387" i="1" l="1"/>
  <c r="U387" i="1"/>
  <c r="V387" i="1"/>
  <c r="AB387" i="1" l="1"/>
  <c r="K388" i="1"/>
  <c r="M388" i="1" l="1"/>
  <c r="R388" i="1" s="1"/>
  <c r="O388" i="1" l="1"/>
  <c r="AE388" i="1"/>
  <c r="AF388" i="1"/>
  <c r="S388" i="1"/>
  <c r="Y388" i="1" l="1"/>
  <c r="X388" i="1"/>
  <c r="AC388" i="1"/>
  <c r="AD388" i="1"/>
  <c r="V388" i="1"/>
  <c r="U388" i="1"/>
  <c r="AB388" i="1" l="1"/>
  <c r="K389" i="1"/>
  <c r="M389" i="1" l="1"/>
  <c r="R389" i="1" l="1"/>
  <c r="O389" i="1"/>
  <c r="AE389" i="1"/>
  <c r="AF389" i="1"/>
  <c r="S389" i="1"/>
  <c r="X389" i="1" l="1"/>
  <c r="AC389" i="1"/>
  <c r="AD389" i="1"/>
  <c r="Y389" i="1"/>
  <c r="V389" i="1"/>
  <c r="U389" i="1"/>
  <c r="K390" i="1" l="1"/>
  <c r="AB389" i="1"/>
  <c r="M390" i="1" l="1"/>
  <c r="R390" i="1" s="1"/>
  <c r="AF390" i="1" l="1"/>
  <c r="AE390" i="1"/>
  <c r="O390" i="1"/>
  <c r="S390" i="1"/>
  <c r="X390" i="1" l="1"/>
  <c r="AD390" i="1"/>
  <c r="AC390" i="1"/>
  <c r="Y390" i="1"/>
  <c r="V390" i="1"/>
  <c r="U390" i="1"/>
  <c r="K391" i="1" l="1"/>
  <c r="AB390" i="1"/>
  <c r="M391" i="1" l="1"/>
  <c r="R391" i="1" s="1"/>
  <c r="O391" i="1" l="1"/>
  <c r="O27" i="1" s="1"/>
  <c r="R27" i="1"/>
  <c r="Y5" i="1"/>
  <c r="AF391" i="1"/>
  <c r="Y6" i="1"/>
  <c r="Y8" i="1"/>
  <c r="M27" i="1"/>
  <c r="AE391" i="1"/>
  <c r="S391" i="1"/>
  <c r="Y391" i="1" l="1"/>
  <c r="Y27" i="1" s="1"/>
  <c r="Y4" i="1"/>
  <c r="X391" i="1"/>
  <c r="X27" i="1" s="1"/>
  <c r="S27" i="1"/>
  <c r="AC391" i="1"/>
  <c r="AD391" i="1"/>
  <c r="V391" i="1"/>
  <c r="AB391" i="1" s="1"/>
  <c r="U391" i="1"/>
  <c r="Y9" i="1"/>
  <c r="AA207" i="1" l="1"/>
  <c r="AA317" i="1"/>
  <c r="AA56" i="1"/>
  <c r="AA79" i="1"/>
  <c r="AA309" i="1"/>
  <c r="AA177" i="1"/>
  <c r="AA234" i="1"/>
  <c r="AA233" i="1"/>
  <c r="AA388" i="1"/>
  <c r="AA319" i="1"/>
  <c r="AA381" i="1"/>
  <c r="AA236" i="1"/>
  <c r="AA140" i="1"/>
  <c r="AA31" i="1"/>
  <c r="AA327" i="1"/>
  <c r="AA147" i="1"/>
  <c r="AA225" i="1"/>
  <c r="AA151" i="1"/>
  <c r="AA276" i="1"/>
  <c r="AA131" i="1"/>
  <c r="AA91" i="1"/>
  <c r="AA370" i="1"/>
  <c r="AA159" i="1"/>
  <c r="AA145" i="1"/>
  <c r="AA33" i="1"/>
  <c r="AA277" i="1"/>
  <c r="AA194" i="1"/>
  <c r="AA214" i="1"/>
  <c r="AA360" i="1"/>
  <c r="AA391" i="1"/>
  <c r="AA197" i="1"/>
  <c r="AA208" i="1"/>
  <c r="AA237" i="1"/>
  <c r="AA345" i="1"/>
  <c r="AA88" i="1"/>
  <c r="AA316" i="1"/>
  <c r="AA215" i="1"/>
  <c r="AA361" i="1"/>
  <c r="AA210" i="1"/>
  <c r="AA52" i="1"/>
  <c r="AA154" i="1"/>
  <c r="AA72" i="1"/>
  <c r="AA139" i="1"/>
  <c r="AA342" i="1"/>
  <c r="AA205" i="1"/>
  <c r="AA329" i="1"/>
  <c r="AA386" i="1"/>
  <c r="AA295" i="1"/>
  <c r="AA83" i="1"/>
  <c r="AA335" i="1"/>
  <c r="AA65" i="1"/>
  <c r="AA78" i="1"/>
  <c r="AA84" i="1"/>
  <c r="AA318" i="1"/>
  <c r="AA36" i="1"/>
  <c r="AA141" i="1"/>
  <c r="AA101" i="1"/>
  <c r="AA158" i="1"/>
  <c r="AA143" i="1"/>
  <c r="AA320" i="1"/>
  <c r="AA188" i="1"/>
  <c r="AA364" i="1"/>
  <c r="AA124" i="1"/>
  <c r="AA160" i="1"/>
  <c r="AA96" i="1"/>
  <c r="AA196" i="1"/>
  <c r="AA35" i="1"/>
  <c r="AA356" i="1"/>
  <c r="AA195" i="1"/>
  <c r="AA362" i="1"/>
  <c r="AA102" i="1"/>
  <c r="AA190" i="1"/>
  <c r="AA373" i="1"/>
  <c r="AA107" i="1"/>
  <c r="AA338" i="1"/>
  <c r="AA34" i="1"/>
  <c r="AA222" i="1"/>
  <c r="AA331" i="1"/>
  <c r="AA284" i="1"/>
  <c r="AA273" i="1"/>
  <c r="AA304" i="1"/>
  <c r="AA336" i="1"/>
  <c r="AA132" i="1"/>
  <c r="AA213" i="1"/>
  <c r="AA152" i="1"/>
  <c r="AA70" i="1"/>
  <c r="AA359" i="1"/>
  <c r="AA108" i="1"/>
  <c r="AA114" i="1"/>
  <c r="AA97" i="1"/>
  <c r="AA257" i="1"/>
  <c r="AA291" i="1"/>
  <c r="AA193" i="1"/>
  <c r="AA90" i="1"/>
  <c r="AA117" i="1"/>
  <c r="AA105" i="1"/>
  <c r="AA103" i="1"/>
  <c r="AA43" i="1"/>
  <c r="AA303" i="1"/>
  <c r="AA133" i="1"/>
  <c r="AA75" i="1"/>
  <c r="AA228" i="1"/>
  <c r="AA138" i="1"/>
  <c r="AA251" i="1"/>
  <c r="AA315" i="1"/>
  <c r="AA106" i="1"/>
  <c r="AA223" i="1"/>
  <c r="AA301" i="1"/>
  <c r="AA260" i="1"/>
  <c r="AA181" i="1"/>
  <c r="AA192" i="1"/>
  <c r="AA256" i="1"/>
  <c r="AA82" i="1"/>
  <c r="AA325" i="1"/>
  <c r="AA171" i="1"/>
  <c r="AA264" i="1"/>
  <c r="AA377" i="1"/>
  <c r="AA119" i="1"/>
  <c r="AA389" i="1"/>
  <c r="AA92" i="1"/>
  <c r="AA121" i="1"/>
  <c r="AA289" i="1"/>
  <c r="AA179" i="1"/>
  <c r="AA357" i="1"/>
  <c r="AA217" i="1"/>
  <c r="AA363" i="1"/>
  <c r="AA262" i="1"/>
  <c r="AA380" i="1"/>
  <c r="AA113" i="1"/>
  <c r="AA347" i="1"/>
  <c r="AA358" i="1"/>
  <c r="AA254" i="1"/>
  <c r="AA58" i="1"/>
  <c r="AA349" i="1"/>
  <c r="AA180" i="1"/>
  <c r="AA187" i="1"/>
  <c r="AA123" i="1"/>
  <c r="AA42" i="1"/>
  <c r="AA46" i="1"/>
  <c r="AA274" i="1"/>
  <c r="AA169" i="1"/>
  <c r="AA47" i="1"/>
  <c r="AA235" i="1"/>
  <c r="AA153" i="1"/>
  <c r="AA337" i="1"/>
  <c r="AA279" i="1"/>
  <c r="AA352" i="1"/>
  <c r="AA230" i="1"/>
  <c r="AA112" i="1"/>
  <c r="AA111" i="1"/>
  <c r="AA148" i="1"/>
  <c r="AA62" i="1"/>
  <c r="AA374" i="1"/>
  <c r="AA220" i="1"/>
  <c r="AA45" i="1"/>
  <c r="AA191" i="1"/>
  <c r="AA144" i="1"/>
  <c r="AA272" i="1"/>
  <c r="AA341" i="1"/>
  <c r="AA296" i="1"/>
  <c r="AA155" i="1"/>
  <c r="AA302" i="1"/>
  <c r="AA150" i="1"/>
  <c r="AA109" i="1"/>
  <c r="AA269" i="1"/>
  <c r="AA170" i="1"/>
  <c r="AA219" i="1"/>
  <c r="AA267" i="1"/>
  <c r="AA278" i="1"/>
  <c r="AA44" i="1"/>
  <c r="AA115" i="1"/>
  <c r="AA129" i="1"/>
  <c r="AA290" i="1"/>
  <c r="AA94" i="1"/>
  <c r="AA66" i="1"/>
  <c r="AA104" i="1"/>
  <c r="AA229" i="1"/>
  <c r="AA74" i="1"/>
  <c r="AA253" i="1"/>
  <c r="AA87" i="1"/>
  <c r="AA292" i="1"/>
  <c r="AA149" i="1"/>
  <c r="AA247" i="1"/>
  <c r="AA306" i="1"/>
  <c r="AA48" i="1"/>
  <c r="AA384" i="1"/>
  <c r="AA239" i="1"/>
  <c r="AA385" i="1"/>
  <c r="AA288" i="1"/>
  <c r="AA146" i="1"/>
  <c r="AA40" i="1"/>
  <c r="AA226" i="1"/>
  <c r="AA324" i="1"/>
  <c r="AA280" i="1"/>
  <c r="AA312" i="1"/>
  <c r="AA118" i="1"/>
  <c r="AA382" i="1"/>
  <c r="AA73" i="1"/>
  <c r="AA258" i="1"/>
  <c r="AA355" i="1"/>
  <c r="AA120" i="1"/>
  <c r="AA39" i="1"/>
  <c r="AA343" i="1"/>
  <c r="AA313" i="1"/>
  <c r="AA135" i="1"/>
  <c r="AA326" i="1"/>
  <c r="AA333" i="1"/>
  <c r="AA282" i="1"/>
  <c r="AA172" i="1"/>
  <c r="AA161" i="1"/>
  <c r="AA209" i="1"/>
  <c r="AA128" i="1"/>
  <c r="AA212" i="1"/>
  <c r="AA202" i="1"/>
  <c r="AA308" i="1"/>
  <c r="AA328" i="1"/>
  <c r="AA330" i="1"/>
  <c r="AA156" i="1"/>
  <c r="AA110" i="1"/>
  <c r="AA37" i="1"/>
  <c r="AA286" i="1"/>
  <c r="AA174" i="1"/>
  <c r="AA298" i="1"/>
  <c r="AA227" i="1"/>
  <c r="AA252" i="1"/>
  <c r="AA93" i="1"/>
  <c r="AA32" i="1"/>
  <c r="AA60" i="1"/>
  <c r="AA122" i="1"/>
  <c r="AA383" i="1"/>
  <c r="AA80" i="1"/>
  <c r="AA322" i="1"/>
  <c r="AA305" i="1"/>
  <c r="AA55" i="1"/>
  <c r="AA54" i="1"/>
  <c r="AA116" i="1"/>
  <c r="AA206" i="1"/>
  <c r="AA372" i="1"/>
  <c r="AA167" i="1"/>
  <c r="AA246" i="1"/>
  <c r="AA369" i="1"/>
  <c r="AA85" i="1"/>
  <c r="AA242" i="1"/>
  <c r="AA186" i="1"/>
  <c r="AA353" i="1"/>
  <c r="AA198" i="1"/>
  <c r="AA314" i="1"/>
  <c r="AA173" i="1"/>
  <c r="AA166" i="1"/>
  <c r="AA77" i="1"/>
  <c r="AA339" i="1"/>
  <c r="AA261" i="1"/>
  <c r="AA287" i="1"/>
  <c r="AA263" i="1"/>
  <c r="AA243" i="1"/>
  <c r="AA211" i="1"/>
  <c r="AA125" i="1"/>
  <c r="AA371" i="1"/>
  <c r="AA184" i="1"/>
  <c r="AA245" i="1"/>
  <c r="AA346" i="1"/>
  <c r="AA57" i="1"/>
  <c r="AA231" i="1"/>
  <c r="AA136" i="1"/>
  <c r="AA310" i="1"/>
  <c r="AA323" i="1"/>
  <c r="AA250" i="1"/>
  <c r="AA162" i="1"/>
  <c r="AA332" i="1"/>
  <c r="AA307" i="1"/>
  <c r="AA271" i="1"/>
  <c r="AA68" i="1"/>
  <c r="AA281" i="1"/>
  <c r="AA238" i="1"/>
  <c r="AA59" i="1"/>
  <c r="AA378" i="1"/>
  <c r="AA100" i="1"/>
  <c r="AA366" i="1"/>
  <c r="AA297" i="1"/>
  <c r="AA204" i="1"/>
  <c r="AA354" i="1"/>
  <c r="AA244" i="1"/>
  <c r="AA259" i="1"/>
  <c r="AA216" i="1"/>
  <c r="AA376" i="1"/>
  <c r="AA344" i="1"/>
  <c r="AA367" i="1"/>
  <c r="AA249" i="1"/>
  <c r="AA67" i="1"/>
  <c r="AA142" i="1"/>
  <c r="AA175" i="1"/>
  <c r="AA270" i="1"/>
  <c r="AA221" i="1"/>
  <c r="AA63" i="1"/>
  <c r="AA51" i="1"/>
  <c r="AA268" i="1"/>
  <c r="AA365" i="1"/>
  <c r="AA163" i="1"/>
  <c r="AA137" i="1"/>
  <c r="AA98" i="1"/>
  <c r="AA321" i="1"/>
  <c r="AA248" i="1"/>
  <c r="AA203" i="1"/>
  <c r="AA390" i="1"/>
  <c r="AA50" i="1"/>
  <c r="AA275" i="1"/>
  <c r="AA53" i="1"/>
  <c r="AA182" i="1"/>
  <c r="AA387" i="1"/>
  <c r="AA81" i="1"/>
  <c r="AA49" i="1"/>
  <c r="AA240" i="1"/>
  <c r="AA71" i="1"/>
  <c r="AA224" i="1"/>
  <c r="AA61" i="1"/>
  <c r="AA300" i="1"/>
  <c r="AA265" i="1"/>
  <c r="AA241" i="1"/>
  <c r="AA350" i="1"/>
  <c r="AA351" i="1"/>
  <c r="AA64" i="1"/>
  <c r="AA340" i="1"/>
  <c r="AA176" i="1"/>
  <c r="AA311" i="1"/>
  <c r="AA189" i="1"/>
  <c r="AA255" i="1"/>
  <c r="AA76" i="1"/>
  <c r="AA299" i="1"/>
  <c r="AA126" i="1"/>
  <c r="AA199" i="1"/>
  <c r="AA86" i="1"/>
  <c r="AA185" i="1"/>
  <c r="AA334" i="1"/>
  <c r="AA168" i="1"/>
  <c r="AA69" i="1"/>
  <c r="AA89" i="1"/>
  <c r="AA368" i="1"/>
  <c r="AA201" i="1"/>
  <c r="AA130" i="1"/>
  <c r="AA283" i="1"/>
  <c r="AA294" i="1"/>
  <c r="AA200" i="1"/>
  <c r="AA348" i="1"/>
  <c r="AA183" i="1"/>
  <c r="AA41" i="1"/>
  <c r="AA95" i="1"/>
  <c r="AA232" i="1"/>
  <c r="AA127" i="1"/>
  <c r="AA266" i="1"/>
  <c r="AA99" i="1"/>
  <c r="AA157" i="1"/>
  <c r="AA375" i="1"/>
  <c r="AA218" i="1"/>
  <c r="AA38" i="1"/>
  <c r="AA178" i="1"/>
  <c r="AA165" i="1"/>
  <c r="AA134" i="1"/>
  <c r="AA379" i="1"/>
  <c r="AA285" i="1"/>
  <c r="AA164" i="1"/>
  <c r="AA293" i="1"/>
  <c r="Y10" i="1"/>
  <c r="U27" i="1"/>
  <c r="X12" i="1" l="1"/>
  <c r="Y11" i="1"/>
  <c r="Y7" i="1" s="1"/>
  <c r="Y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<sst xmlns="http://schemas.openxmlformats.org/spreadsheetml/2006/main" count="69" uniqueCount="62">
  <si>
    <t>Index</t>
  </si>
  <si>
    <t>Rate Type</t>
  </si>
  <si>
    <t>CDR</t>
  </si>
  <si>
    <t>Original UPB</t>
  </si>
  <si>
    <t>Periodic Cap</t>
  </si>
  <si>
    <t>Periodic Floor</t>
  </si>
  <si>
    <t>Life Floor</t>
  </si>
  <si>
    <t>Life Cap</t>
  </si>
  <si>
    <t>Period</t>
  </si>
  <si>
    <t>WALA</t>
  </si>
  <si>
    <t>Beg UPB</t>
  </si>
  <si>
    <t>Principal</t>
  </si>
  <si>
    <t>Interest</t>
  </si>
  <si>
    <t>Ending UPB</t>
  </si>
  <si>
    <t>End UPB</t>
  </si>
  <si>
    <t>Defaults</t>
  </si>
  <si>
    <t>Prepayments</t>
  </si>
  <si>
    <t>Rate</t>
  </si>
  <si>
    <t>Scheduled</t>
  </si>
  <si>
    <t>Actual</t>
  </si>
  <si>
    <t>Scheduled Factor</t>
  </si>
  <si>
    <t>Periodic Information</t>
  </si>
  <si>
    <t>Original Term</t>
  </si>
  <si>
    <t>Remaining Term</t>
  </si>
  <si>
    <t>Current Coupon</t>
  </si>
  <si>
    <t>Factor</t>
  </si>
  <si>
    <t>Fixed</t>
  </si>
  <si>
    <t>MDR</t>
  </si>
  <si>
    <t>SMM</t>
  </si>
  <si>
    <t>Recoveries</t>
  </si>
  <si>
    <t>Yield to Maturity</t>
  </si>
  <si>
    <t>Convexity</t>
  </si>
  <si>
    <t>WAL</t>
  </si>
  <si>
    <t>Cum Loss</t>
  </si>
  <si>
    <t>Cum Default</t>
  </si>
  <si>
    <t>Cash Flow</t>
  </si>
  <si>
    <t>Sched CF</t>
  </si>
  <si>
    <t>Actual CF</t>
  </si>
  <si>
    <t>Implied CDR</t>
  </si>
  <si>
    <t>Act Prin CF</t>
  </si>
  <si>
    <t>Statistics</t>
  </si>
  <si>
    <t>Cum Gross Def</t>
  </si>
  <si>
    <t>Cum Net Def</t>
  </si>
  <si>
    <t>Sched Prin</t>
  </si>
  <si>
    <t>Total Prin</t>
  </si>
  <si>
    <t>t^2+t</t>
  </si>
  <si>
    <t>Prepay Speed</t>
  </si>
  <si>
    <t>Prepay Type</t>
  </si>
  <si>
    <t>PSA</t>
  </si>
  <si>
    <t>Default Type</t>
  </si>
  <si>
    <t>Cum Prepayment</t>
  </si>
  <si>
    <t>Total Principal</t>
  </si>
  <si>
    <t>Mod Duration</t>
  </si>
  <si>
    <t>Implied Severity</t>
  </si>
  <si>
    <t>Sched DF</t>
  </si>
  <si>
    <t>Act DF</t>
  </si>
  <si>
    <t>Column Totals</t>
  </si>
  <si>
    <t>Payment</t>
  </si>
  <si>
    <t>Default Speed</t>
  </si>
  <si>
    <t>Severity</t>
  </si>
  <si>
    <t>Recovery Lag</t>
  </si>
  <si>
    <t>Rate 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</si>
</sst>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0.0000%"/>
    <numFmt numFmtId="166" formatCode="0.0%"/>
    <numFmt numFmtId="167" formatCode="0.000"/>
    <numFmt numFmtId="168" formatCode="_(* #,##0.0_);_(* \(#,##0.0\);_(* &quot;-&quot;??_);_(@_)"/>
    <numFmt numFmtId="169" formatCode="0.0000"/>
  </numFmts>
  <fonts count="9" x14ac:knownFonts="1">
    <font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u val="singleAccounting"/>
      <sz val="9"/>
      <color theme="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theme="0" tint="-0.499984740745262"/>
      <name val="Arial"/>
      <family val="2"/>
    </font>
    <font>
      <sz val="9"/>
      <color theme="0" tint="-0.499984740745262"/>
      <name val="Arial"/>
      <family val="2"/>
    </font>
    <font>
      <sz val="9"/>
      <color rgb="FF0000F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/>
    </xf>
    <xf numFmtId="44" fontId="0" fillId="0" borderId="0" xfId="0" applyNumberFormat="1"/>
    <xf numFmtId="164" fontId="0" fillId="0" borderId="0" xfId="0" applyNumberFormat="1"/>
    <xf numFmtId="0" fontId="3" fillId="0" borderId="0" xfId="0" applyFont="1" applyAlignment="1">
      <alignment horizontal="centerContinuous"/>
    </xf>
    <xf numFmtId="0" fontId="2" fillId="0" borderId="1" xfId="0" applyFont="1" applyBorder="1" applyAlignment="1">
      <alignment horizontal="center"/>
    </xf>
    <xf numFmtId="166" fontId="0" fillId="0" borderId="0" xfId="2" applyNumberFormat="1" applyFont="1"/>
    <xf numFmtId="0" fontId="2" fillId="0" borderId="0" xfId="0" applyFont="1" applyAlignment="1">
      <alignment horizontal="center"/>
    </xf>
    <xf numFmtId="10" fontId="0" fillId="0" borderId="0" xfId="2" applyNumberFormat="1" applyFont="1"/>
    <xf numFmtId="164" fontId="0" fillId="0" borderId="0" xfId="2" applyNumberFormat="1" applyFont="1"/>
    <xf numFmtId="167" fontId="0" fillId="0" borderId="0" xfId="0" applyNumberFormat="1"/>
    <xf numFmtId="9" fontId="0" fillId="0" borderId="0" xfId="2" applyFont="1"/>
    <xf numFmtId="168" fontId="0" fillId="0" borderId="0" xfId="3" applyNumberFormat="1" applyFont="1"/>
    <xf numFmtId="169" fontId="0" fillId="0" borderId="0" xfId="0" applyNumberFormat="1"/>
    <xf numFmtId="43" fontId="0" fillId="0" borderId="0" xfId="3" applyFont="1"/>
    <xf numFmtId="0" fontId="4" fillId="0" borderId="2" xfId="0" applyFont="1" applyBorder="1"/>
    <xf numFmtId="0" fontId="5" fillId="0" borderId="2" xfId="0" applyFont="1" applyBorder="1"/>
    <xf numFmtId="44" fontId="4" fillId="0" borderId="2" xfId="0" applyNumberFormat="1" applyFont="1" applyBorder="1"/>
    <xf numFmtId="44" fontId="5" fillId="0" borderId="2" xfId="0" applyNumberFormat="1" applyFont="1" applyBorder="1"/>
    <xf numFmtId="0" fontId="6" fillId="2" borderId="1" xfId="0" applyFont="1" applyFill="1" applyBorder="1" applyAlignment="1">
      <alignment horizontal="center"/>
    </xf>
    <xf numFmtId="164" fontId="7" fillId="2" borderId="0" xfId="0" applyNumberFormat="1" applyFont="1" applyFill="1" applyAlignment="1">
      <alignment horizontal="center"/>
    </xf>
    <xf numFmtId="44" fontId="8" fillId="0" borderId="0" xfId="1" applyFont="1" applyAlignment="1">
      <alignment horizontal="center"/>
    </xf>
    <xf numFmtId="166" fontId="8" fillId="0" borderId="0" xfId="2" applyNumberFormat="1" applyFont="1" applyAlignment="1">
      <alignment horizontal="center"/>
    </xf>
    <xf numFmtId="0" fontId="8" fillId="0" borderId="0" xfId="0" applyFont="1" applyAlignment="1">
      <alignment horizontal="center"/>
    </xf>
    <xf numFmtId="165" fontId="8" fillId="0" borderId="0" xfId="0" applyNumberFormat="1" applyFont="1" applyAlignment="1">
      <alignment horizontal="center"/>
    </xf>
    <xf numFmtId="164" fontId="8" fillId="0" borderId="0" xfId="2" applyNumberFormat="1" applyFont="1"/>
    <xf numFmtId="9" fontId="8" fillId="0" borderId="0" xfId="0" applyNumberFormat="1" applyFont="1" applyAlignment="1">
      <alignment horizontal="center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139374793719646E-2"/>
          <c:y val="1.8534608003156781E-2"/>
          <c:w val="0.6959000110016188"/>
          <c:h val="0.89019233643630535"/>
        </c:manualLayout>
      </c:layout>
      <c:lineChart>
        <c:grouping val="standard"/>
        <c:varyColors val="0"/>
        <c:ser>
          <c:idx val="0"/>
          <c:order val="0"/>
          <c:tx>
            <c:strRef>
              <c:f>Sheet1!$AB$30</c:f>
              <c:strCache>
                <c:ptCount val="1"/>
                <c:pt idx="0">
                  <c:v>Factor</c:v>
                </c:pt>
              </c:strCache>
            </c:strRef>
          </c:tx>
          <c:marker>
            <c:symbol val="none"/>
          </c:marker>
          <c:cat>
            <c:numRef>
              <c:f>Sheet1!$C$31:$C$391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cat>
          <c:val>
            <c:numRef>
              <c:f>Sheet1!$AB$31:$AB$391</c:f>
              <c:numCache>
                <c:formatCode>0%</c:formatCode>
                <c:ptCount val="36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72-AB44-BF14-33A6AC539CC6}"/>
            </c:ext>
          </c:extLst>
        </c:ser>
        <c:ser>
          <c:idx val="1"/>
          <c:order val="1"/>
          <c:tx>
            <c:strRef>
              <c:f>Sheet1!$AC$30</c:f>
              <c:strCache>
                <c:ptCount val="1"/>
                <c:pt idx="0">
                  <c:v>Sched Prin</c:v>
                </c:pt>
              </c:strCache>
            </c:strRef>
          </c:tx>
          <c:marker>
            <c:symbol val="none"/>
          </c:marker>
          <c:cat>
            <c:numRef>
              <c:f>Sheet1!$C$31:$C$391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cat>
          <c:val>
            <c:numRef>
              <c:f>Sheet1!$AC$31:$AC$391</c:f>
              <c:numCache>
                <c:formatCode>0%</c:formatCode>
                <c:ptCount val="361"/>
                <c:pt idx="0">
                  <c:v>0</c:v>
                </c:pt>
                <c:pt idx="1">
                  <c:v>1.4383960025945246E-3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72-AB44-BF14-33A6AC539CC6}"/>
            </c:ext>
          </c:extLst>
        </c:ser>
        <c:ser>
          <c:idx val="2"/>
          <c:order val="2"/>
          <c:tx>
            <c:strRef>
              <c:f>Sheet1!$AD$30</c:f>
              <c:strCache>
                <c:ptCount val="1"/>
                <c:pt idx="0">
                  <c:v>Total Prin</c:v>
                </c:pt>
              </c:strCache>
            </c:strRef>
          </c:tx>
          <c:marker>
            <c:symbol val="none"/>
          </c:marker>
          <c:cat>
            <c:numRef>
              <c:f>Sheet1!$C$31:$C$391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cat>
          <c:val>
            <c:numRef>
              <c:f>Sheet1!$AD$31:$AD$391</c:f>
              <c:numCache>
                <c:formatCode>0%</c:formatCode>
                <c:ptCount val="3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72-AB44-BF14-33A6AC539CC6}"/>
            </c:ext>
          </c:extLst>
        </c:ser>
        <c:ser>
          <c:idx val="3"/>
          <c:order val="3"/>
          <c:tx>
            <c:strRef>
              <c:f>Sheet1!$AE$30</c:f>
              <c:strCache>
                <c:ptCount val="1"/>
                <c:pt idx="0">
                  <c:v>Cum Gross Def</c:v>
                </c:pt>
              </c:strCache>
            </c:strRef>
          </c:tx>
          <c:marker>
            <c:symbol val="none"/>
          </c:marker>
          <c:cat>
            <c:numRef>
              <c:f>Sheet1!$C$31:$C$391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cat>
          <c:val>
            <c:numRef>
              <c:f>Sheet1!$AE$31:$AE$391</c:f>
              <c:numCache>
                <c:formatCode>0%</c:formatCode>
                <c:ptCount val="361"/>
                <c:pt idx="0">
                  <c:v>0</c:v>
                </c:pt>
                <c:pt idx="1">
                  <c:v>1.6821425527395741E-3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72-AB44-BF14-33A6AC539CC6}"/>
            </c:ext>
          </c:extLst>
        </c:ser>
        <c:ser>
          <c:idx val="4"/>
          <c:order val="4"/>
          <c:tx>
            <c:strRef>
              <c:f>Sheet1!$AF$30</c:f>
              <c:strCache>
                <c:ptCount val="1"/>
                <c:pt idx="0">
                  <c:v>Cum Net Def</c:v>
                </c:pt>
              </c:strCache>
            </c:strRef>
          </c:tx>
          <c:marker>
            <c:symbol val="none"/>
          </c:marker>
          <c:cat>
            <c:numRef>
              <c:f>Sheet1!$C$31:$C$391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cat>
          <c:val>
            <c:numRef>
              <c:f>Sheet1!$AF$31:$AF$391</c:f>
              <c:numCache>
                <c:formatCode>0%</c:formatCode>
                <c:ptCount val="361"/>
                <c:pt idx="0">
                  <c:v>0</c:v>
                </c:pt>
                <c:pt idx="1">
                  <c:v>1.6821425527395741E-3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72-AB44-BF14-33A6AC539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7411712"/>
        <c:axId val="237483136"/>
      </c:lineChart>
      <c:catAx>
        <c:axId val="23741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7483136"/>
        <c:crosses val="autoZero"/>
        <c:auto val="1"/>
        <c:lblAlgn val="ctr"/>
        <c:lblOffset val="100"/>
        <c:tickLblSkip val="30"/>
        <c:tickMarkSkip val="30"/>
        <c:noMultiLvlLbl val="0"/>
      </c:catAx>
      <c:valAx>
        <c:axId val="237483136"/>
        <c:scaling>
          <c:orientation val="minMax"/>
          <c:max val="1"/>
          <c:min val="0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37411712"/>
        <c:crossesAt val="1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Sheet1!$H$30</c:f>
              <c:strCache>
                <c:ptCount val="1"/>
                <c:pt idx="0">
                  <c:v>Interest</c:v>
                </c:pt>
              </c:strCache>
            </c:strRef>
          </c:tx>
          <c:marker>
            <c:symbol val="none"/>
          </c:marker>
          <c:cat>
            <c:numRef>
              <c:f>Sheet1!$B$31:$B$391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cat>
          <c:val>
            <c:numRef>
              <c:f>Sheet1!$H$31:$H$391</c:f>
              <c:numCache>
                <c:formatCode>_("$"* #,##0.00_);_("$"* \(#,##0.00\);_("$"* "-"??_);_(@_)</c:formatCode>
                <c:ptCount val="361"/>
                <c:pt idx="1">
                  <c:v>333.33333333333337</c:v>
                </c:pt>
                <c:pt idx="2">
                  <c:v>332.85306011111112</c:v>
                </c:pt>
                <c:pt idx="3">
                  <c:v>332.37118597814816</c:v>
                </c:pt>
                <c:pt idx="4">
                  <c:v>331.88770559807534</c:v>
                </c:pt>
                <c:pt idx="5">
                  <c:v>331.40261361673561</c:v>
                </c:pt>
                <c:pt idx="6">
                  <c:v>330.91590466212466</c:v>
                </c:pt>
                <c:pt idx="7">
                  <c:v>330.42757334433179</c:v>
                </c:pt>
                <c:pt idx="8">
                  <c:v>329.93761425547956</c:v>
                </c:pt>
                <c:pt idx="9">
                  <c:v>329.44602196966446</c:v>
                </c:pt>
                <c:pt idx="10">
                  <c:v>328.95279104289671</c:v>
                </c:pt>
                <c:pt idx="11">
                  <c:v>328.45791601303966</c:v>
                </c:pt>
                <c:pt idx="12">
                  <c:v>327.9613913997498</c:v>
                </c:pt>
                <c:pt idx="13">
                  <c:v>327.46321170441564</c:v>
                </c:pt>
                <c:pt idx="14">
                  <c:v>326.96337141009707</c:v>
                </c:pt>
                <c:pt idx="15">
                  <c:v>326.46186498146403</c:v>
                </c:pt>
                <c:pt idx="16">
                  <c:v>325.95868686473557</c:v>
                </c:pt>
                <c:pt idx="17">
                  <c:v>325.453831487618</c:v>
                </c:pt>
                <c:pt idx="18">
                  <c:v>324.94729325924345</c:v>
                </c:pt>
                <c:pt idx="19">
                  <c:v>324.43906657010757</c:v>
                </c:pt>
                <c:pt idx="20">
                  <c:v>323.92914579200794</c:v>
                </c:pt>
                <c:pt idx="21">
                  <c:v>323.41752527798133</c:v>
                </c:pt>
                <c:pt idx="22">
                  <c:v>322.90419936224123</c:v>
                </c:pt>
                <c:pt idx="23">
                  <c:v>322.38916236011539</c:v>
                </c:pt>
                <c:pt idx="24">
                  <c:v>321.8724085679824</c:v>
                </c:pt>
                <c:pt idx="25">
                  <c:v>321.353932263209</c:v>
                </c:pt>
                <c:pt idx="26">
                  <c:v>320.83372770408636</c:v>
                </c:pt>
                <c:pt idx="27">
                  <c:v>320.31178912976668</c:v>
                </c:pt>
                <c:pt idx="28">
                  <c:v>319.78811076019923</c:v>
                </c:pt>
                <c:pt idx="29">
                  <c:v>319.26268679606653</c:v>
                </c:pt>
                <c:pt idx="30">
                  <c:v>318.73551141872008</c:v>
                </c:pt>
                <c:pt idx="31">
                  <c:v>318.20657879011583</c:v>
                </c:pt>
                <c:pt idx="32">
                  <c:v>317.67588305274955</c:v>
                </c:pt>
                <c:pt idx="33">
                  <c:v>317.14341832959201</c:v>
                </c:pt>
                <c:pt idx="34">
                  <c:v>316.60917872402399</c:v>
                </c:pt>
                <c:pt idx="35">
                  <c:v>316.0731583197707</c:v>
                </c:pt>
                <c:pt idx="36">
                  <c:v>315.53535118083659</c:v>
                </c:pt>
                <c:pt idx="37">
                  <c:v>314.99575135143942</c:v>
                </c:pt>
                <c:pt idx="38">
                  <c:v>314.45435285594425</c:v>
                </c:pt>
                <c:pt idx="39">
                  <c:v>313.91114969879737</c:v>
                </c:pt>
                <c:pt idx="40">
                  <c:v>313.36613586446003</c:v>
                </c:pt>
                <c:pt idx="41">
                  <c:v>312.81930531734162</c:v>
                </c:pt>
                <c:pt idx="42">
                  <c:v>312.27065200173274</c:v>
                </c:pt>
                <c:pt idx="43">
                  <c:v>311.72016984173848</c:v>
                </c:pt>
                <c:pt idx="44">
                  <c:v>311.16785274121099</c:v>
                </c:pt>
                <c:pt idx="45">
                  <c:v>310.61369458368165</c:v>
                </c:pt>
                <c:pt idx="46">
                  <c:v>310.05768923229397</c:v>
                </c:pt>
                <c:pt idx="47">
                  <c:v>309.49983052973494</c:v>
                </c:pt>
                <c:pt idx="48">
                  <c:v>308.94011229816738</c:v>
                </c:pt>
                <c:pt idx="49">
                  <c:v>308.37852833916128</c:v>
                </c:pt>
                <c:pt idx="50">
                  <c:v>307.81507243362512</c:v>
                </c:pt>
                <c:pt idx="51">
                  <c:v>307.24973834173721</c:v>
                </c:pt>
                <c:pt idx="52">
                  <c:v>306.68251980287636</c:v>
                </c:pt>
                <c:pt idx="53">
                  <c:v>306.11341053555259</c:v>
                </c:pt>
                <c:pt idx="54">
                  <c:v>305.54240423733779</c:v>
                </c:pt>
                <c:pt idx="55">
                  <c:v>304.9694945847956</c:v>
                </c:pt>
                <c:pt idx="56">
                  <c:v>304.39467523341159</c:v>
                </c:pt>
                <c:pt idx="57">
                  <c:v>303.81793981752293</c:v>
                </c:pt>
                <c:pt idx="58">
                  <c:v>303.23928195024797</c:v>
                </c:pt>
                <c:pt idx="59">
                  <c:v>302.65869522341546</c:v>
                </c:pt>
                <c:pt idx="60">
                  <c:v>302.07617320749353</c:v>
                </c:pt>
                <c:pt idx="61">
                  <c:v>301.49170945151849</c:v>
                </c:pt>
                <c:pt idx="62">
                  <c:v>300.90529748302356</c:v>
                </c:pt>
                <c:pt idx="63">
                  <c:v>300.31693080796697</c:v>
                </c:pt>
                <c:pt idx="64">
                  <c:v>299.72660291066023</c:v>
                </c:pt>
                <c:pt idx="65">
                  <c:v>299.13430725369574</c:v>
                </c:pt>
                <c:pt idx="66">
                  <c:v>298.54003727787472</c:v>
                </c:pt>
                <c:pt idx="67">
                  <c:v>297.94378640213432</c:v>
                </c:pt>
                <c:pt idx="68">
                  <c:v>297.34554802347475</c:v>
                </c:pt>
                <c:pt idx="69">
                  <c:v>296.74531551688636</c:v>
                </c:pt>
                <c:pt idx="70">
                  <c:v>296.14308223527598</c:v>
                </c:pt>
                <c:pt idx="71">
                  <c:v>295.53884150939354</c:v>
                </c:pt>
                <c:pt idx="72">
                  <c:v>294.93258664775823</c:v>
                </c:pt>
                <c:pt idx="73">
                  <c:v>294.32431093658403</c:v>
                </c:pt>
                <c:pt idx="74">
                  <c:v>293.71400763970598</c:v>
                </c:pt>
                <c:pt idx="75">
                  <c:v>293.10166999850503</c:v>
                </c:pt>
                <c:pt idx="76">
                  <c:v>292.48729123183341</c:v>
                </c:pt>
                <c:pt idx="77">
                  <c:v>291.87086453593952</c:v>
                </c:pt>
                <c:pt idx="78">
                  <c:v>291.25238308439259</c:v>
                </c:pt>
                <c:pt idx="79">
                  <c:v>290.63184002800728</c:v>
                </c:pt>
                <c:pt idx="80">
                  <c:v>290.00922849476729</c:v>
                </c:pt>
                <c:pt idx="81">
                  <c:v>289.38454158974986</c:v>
                </c:pt>
                <c:pt idx="82">
                  <c:v>288.75777239504896</c:v>
                </c:pt>
                <c:pt idx="83">
                  <c:v>288.12891396969911</c:v>
                </c:pt>
                <c:pt idx="84">
                  <c:v>287.49795934959809</c:v>
                </c:pt>
                <c:pt idx="85">
                  <c:v>286.86490154743012</c:v>
                </c:pt>
                <c:pt idx="86">
                  <c:v>286.22973355258824</c:v>
                </c:pt>
                <c:pt idx="87">
                  <c:v>285.59244833109682</c:v>
                </c:pt>
                <c:pt idx="88">
                  <c:v>284.95303882553384</c:v>
                </c:pt>
                <c:pt idx="89">
                  <c:v>284.3114979549523</c:v>
                </c:pt>
                <c:pt idx="90">
                  <c:v>283.66781861480212</c:v>
                </c:pt>
                <c:pt idx="91">
                  <c:v>283.02199367685142</c:v>
                </c:pt>
                <c:pt idx="92">
                  <c:v>282.37401598910759</c:v>
                </c:pt>
                <c:pt idx="93">
                  <c:v>281.72387837573797</c:v>
                </c:pt>
                <c:pt idx="94">
                  <c:v>281.07157363699042</c:v>
                </c:pt>
                <c:pt idx="95">
                  <c:v>280.41709454911376</c:v>
                </c:pt>
                <c:pt idx="96">
                  <c:v>279.76043386427745</c:v>
                </c:pt>
                <c:pt idx="97">
                  <c:v>279.10158431049172</c:v>
                </c:pt>
                <c:pt idx="98">
                  <c:v>278.44053859152666</c:v>
                </c:pt>
                <c:pt idx="99">
                  <c:v>277.77728938683174</c:v>
                </c:pt>
                <c:pt idx="100">
                  <c:v>277.1118293514545</c:v>
                </c:pt>
                <c:pt idx="101">
                  <c:v>276.44415111595936</c:v>
                </c:pt>
                <c:pt idx="102">
                  <c:v>275.77424728634588</c:v>
                </c:pt>
                <c:pt idx="103">
                  <c:v>275.10211044396704</c:v>
                </c:pt>
                <c:pt idx="104">
                  <c:v>274.42773314544689</c:v>
                </c:pt>
                <c:pt idx="105">
                  <c:v>273.75110792259835</c:v>
                </c:pt>
                <c:pt idx="106">
                  <c:v>273.07222728234041</c:v>
                </c:pt>
                <c:pt idx="107">
                  <c:v>272.39108370661484</c:v>
                </c:pt>
                <c:pt idx="108">
                  <c:v>271.70766965230354</c:v>
                </c:pt>
                <c:pt idx="109">
                  <c:v>271.02197755114457</c:v>
                </c:pt>
                <c:pt idx="110">
                  <c:v>270.33399980964839</c:v>
                </c:pt>
                <c:pt idx="111">
                  <c:v>269.64372880901385</c:v>
                </c:pt>
                <c:pt idx="112">
                  <c:v>268.95115690504394</c:v>
                </c:pt>
                <c:pt idx="113">
                  <c:v>268.25627642806074</c:v>
                </c:pt>
                <c:pt idx="114">
                  <c:v>267.55907968282094</c:v>
                </c:pt>
                <c:pt idx="115">
                  <c:v>266.85955894843039</c:v>
                </c:pt>
                <c:pt idx="116">
                  <c:v>266.15770647825843</c:v>
                </c:pt>
                <c:pt idx="117">
                  <c:v>265.45351449985264</c:v>
                </c:pt>
                <c:pt idx="118">
                  <c:v>264.74697521485217</c:v>
                </c:pt>
                <c:pt idx="119">
                  <c:v>264.03808079890166</c:v>
                </c:pt>
                <c:pt idx="120">
                  <c:v>263.3268234015647</c:v>
                </c:pt>
                <c:pt idx="121">
                  <c:v>262.61319514623654</c:v>
                </c:pt>
                <c:pt idx="122">
                  <c:v>261.89718813005737</c:v>
                </c:pt>
                <c:pt idx="123">
                  <c:v>261.17879442382423</c:v>
                </c:pt>
                <c:pt idx="124">
                  <c:v>260.45800607190364</c:v>
                </c:pt>
                <c:pt idx="125">
                  <c:v>259.73481509214332</c:v>
                </c:pt>
                <c:pt idx="126">
                  <c:v>259.00921347578378</c:v>
                </c:pt>
                <c:pt idx="127">
                  <c:v>258.28119318736969</c:v>
                </c:pt>
                <c:pt idx="128">
                  <c:v>257.55074616466095</c:v>
                </c:pt>
                <c:pt idx="129">
                  <c:v>256.81786431854312</c:v>
                </c:pt>
                <c:pt idx="130">
                  <c:v>256.08253953293826</c:v>
                </c:pt>
                <c:pt idx="131">
                  <c:v>255.34476366471472</c:v>
                </c:pt>
                <c:pt idx="132">
                  <c:v>254.6045285435971</c:v>
                </c:pt>
                <c:pt idx="133">
                  <c:v>253.86182597207576</c:v>
                </c:pt>
                <c:pt idx="134">
                  <c:v>253.116647725316</c:v>
                </c:pt>
                <c:pt idx="135">
                  <c:v>252.36898555106708</c:v>
                </c:pt>
                <c:pt idx="136">
                  <c:v>251.61883116957063</c:v>
                </c:pt>
                <c:pt idx="137">
                  <c:v>250.86617627346919</c:v>
                </c:pt>
                <c:pt idx="138">
                  <c:v>250.11101252771405</c:v>
                </c:pt>
                <c:pt idx="139">
                  <c:v>249.35333156947311</c:v>
                </c:pt>
                <c:pt idx="140">
                  <c:v>248.59312500803802</c:v>
                </c:pt>
                <c:pt idx="141">
                  <c:v>247.83038442473148</c:v>
                </c:pt>
                <c:pt idx="142">
                  <c:v>247.06510137281393</c:v>
                </c:pt>
                <c:pt idx="143">
                  <c:v>246.29726737738997</c:v>
                </c:pt>
                <c:pt idx="144">
                  <c:v>245.52687393531457</c:v>
                </c:pt>
                <c:pt idx="145">
                  <c:v>244.75391251509893</c:v>
                </c:pt>
                <c:pt idx="146">
                  <c:v>243.97837455681594</c:v>
                </c:pt>
                <c:pt idx="147">
                  <c:v>243.20025147200533</c:v>
                </c:pt>
                <c:pt idx="148">
                  <c:v>242.41953464357869</c:v>
                </c:pt>
                <c:pt idx="149">
                  <c:v>241.63621542572395</c:v>
                </c:pt>
                <c:pt idx="150">
                  <c:v>240.85028514380971</c:v>
                </c:pt>
                <c:pt idx="151">
                  <c:v>240.06173509428911</c:v>
                </c:pt>
                <c:pt idx="152">
                  <c:v>239.27055654460338</c:v>
                </c:pt>
                <c:pt idx="153">
                  <c:v>238.47674073308539</c:v>
                </c:pt>
                <c:pt idx="154">
                  <c:v>237.68027886886233</c:v>
                </c:pt>
                <c:pt idx="155">
                  <c:v>236.88116213175851</c:v>
                </c:pt>
                <c:pt idx="156">
                  <c:v>236.07938167219774</c:v>
                </c:pt>
                <c:pt idx="157">
                  <c:v>235.27492861110505</c:v>
                </c:pt>
                <c:pt idx="158">
                  <c:v>234.46779403980872</c:v>
                </c:pt>
                <c:pt idx="159">
                  <c:v>233.65796901994139</c:v>
                </c:pt>
                <c:pt idx="160">
                  <c:v>232.84544458334116</c:v>
                </c:pt>
                <c:pt idx="161">
                  <c:v>232.03021173195231</c:v>
                </c:pt>
                <c:pt idx="162">
                  <c:v>231.21226143772552</c:v>
                </c:pt>
                <c:pt idx="163">
                  <c:v>230.3915846425179</c:v>
                </c:pt>
                <c:pt idx="164">
                  <c:v>229.56817225799296</c:v>
                </c:pt>
                <c:pt idx="165">
                  <c:v>228.7420151655196</c:v>
                </c:pt>
                <c:pt idx="166">
                  <c:v>227.91310421607133</c:v>
                </c:pt>
                <c:pt idx="167">
                  <c:v>227.08143023012488</c:v>
                </c:pt>
                <c:pt idx="168">
                  <c:v>226.24698399755863</c:v>
                </c:pt>
                <c:pt idx="169">
                  <c:v>225.40975627755049</c:v>
                </c:pt>
                <c:pt idx="170">
                  <c:v>224.56973779847564</c:v>
                </c:pt>
                <c:pt idx="171">
                  <c:v>223.72691925780393</c:v>
                </c:pt>
                <c:pt idx="172">
                  <c:v>222.8812913219966</c:v>
                </c:pt>
                <c:pt idx="173">
                  <c:v>222.03284462640326</c:v>
                </c:pt>
                <c:pt idx="174">
                  <c:v>221.18156977515795</c:v>
                </c:pt>
                <c:pt idx="175">
                  <c:v>220.32745734107513</c:v>
                </c:pt>
                <c:pt idx="176">
                  <c:v>219.47049786554538</c:v>
                </c:pt>
                <c:pt idx="177">
                  <c:v>218.61068185843052</c:v>
                </c:pt>
                <c:pt idx="178">
                  <c:v>217.74799979795864</c:v>
                </c:pt>
                <c:pt idx="179">
                  <c:v>216.8824421306185</c:v>
                </c:pt>
                <c:pt idx="180">
                  <c:v>216.0139992710539</c:v>
                </c:pt>
                <c:pt idx="181">
                  <c:v>215.1426616019574</c:v>
                </c:pt>
                <c:pt idx="182">
                  <c:v>214.26841947396395</c:v>
                </c:pt>
                <c:pt idx="183">
                  <c:v>213.39126320554382</c:v>
                </c:pt>
                <c:pt idx="184">
                  <c:v>212.51118308289563</c:v>
                </c:pt>
                <c:pt idx="185">
                  <c:v>211.62816935983861</c:v>
                </c:pt>
                <c:pt idx="186">
                  <c:v>210.74221225770472</c:v>
                </c:pt>
                <c:pt idx="187">
                  <c:v>209.8533019652304</c:v>
                </c:pt>
                <c:pt idx="188">
                  <c:v>208.96142863844784</c:v>
                </c:pt>
                <c:pt idx="189">
                  <c:v>208.06658240057601</c:v>
                </c:pt>
                <c:pt idx="190">
                  <c:v>207.16875334191124</c:v>
                </c:pt>
                <c:pt idx="191">
                  <c:v>206.26793151971762</c:v>
                </c:pt>
                <c:pt idx="192">
                  <c:v>205.36410695811668</c:v>
                </c:pt>
                <c:pt idx="193">
                  <c:v>204.45726964797706</c:v>
                </c:pt>
                <c:pt idx="194">
                  <c:v>203.54740954680366</c:v>
                </c:pt>
                <c:pt idx="195">
                  <c:v>202.63451657862635</c:v>
                </c:pt>
                <c:pt idx="196">
                  <c:v>201.71858063388842</c:v>
                </c:pt>
                <c:pt idx="197">
                  <c:v>200.79959156933472</c:v>
                </c:pt>
                <c:pt idx="198">
                  <c:v>199.87753920789916</c:v>
                </c:pt>
                <c:pt idx="199">
                  <c:v>198.95241333859215</c:v>
                </c:pt>
                <c:pt idx="200">
                  <c:v>198.02420371638746</c:v>
                </c:pt>
                <c:pt idx="201">
                  <c:v>197.09290006210873</c:v>
                </c:pt>
                <c:pt idx="202">
                  <c:v>196.15849206231576</c:v>
                </c:pt>
                <c:pt idx="203">
                  <c:v>195.22096936919016</c:v>
                </c:pt>
                <c:pt idx="204">
                  <c:v>194.28032160042079</c:v>
                </c:pt>
                <c:pt idx="205">
                  <c:v>193.33653833908886</c:v>
                </c:pt>
                <c:pt idx="206">
                  <c:v>192.38960913355251</c:v>
                </c:pt>
                <c:pt idx="207">
                  <c:v>191.43952349733101</c:v>
                </c:pt>
                <c:pt idx="208">
                  <c:v>190.48627090898879</c:v>
                </c:pt>
                <c:pt idx="209">
                  <c:v>189.52984081201876</c:v>
                </c:pt>
                <c:pt idx="210">
                  <c:v>188.57022261472548</c:v>
                </c:pt>
                <c:pt idx="211">
                  <c:v>187.6074056901079</c:v>
                </c:pt>
                <c:pt idx="212">
                  <c:v>186.64137937574159</c:v>
                </c:pt>
                <c:pt idx="213">
                  <c:v>185.67213297366072</c:v>
                </c:pt>
                <c:pt idx="214">
                  <c:v>184.6996557502396</c:v>
                </c:pt>
                <c:pt idx="215">
                  <c:v>183.72393693607376</c:v>
                </c:pt>
                <c:pt idx="216">
                  <c:v>182.74496572586065</c:v>
                </c:pt>
                <c:pt idx="217">
                  <c:v>181.7627312782802</c:v>
                </c:pt>
                <c:pt idx="218">
                  <c:v>180.77722271587447</c:v>
                </c:pt>
                <c:pt idx="219">
                  <c:v>179.78842912492738</c:v>
                </c:pt>
                <c:pt idx="220">
                  <c:v>178.79633955534382</c:v>
                </c:pt>
                <c:pt idx="221">
                  <c:v>177.80094302052831</c:v>
                </c:pt>
                <c:pt idx="222">
                  <c:v>176.80222849726337</c:v>
                </c:pt>
                <c:pt idx="223">
                  <c:v>175.80018492558759</c:v>
                </c:pt>
                <c:pt idx="224">
                  <c:v>174.79480120867288</c:v>
                </c:pt>
                <c:pt idx="225">
                  <c:v>173.78606621270177</c:v>
                </c:pt>
                <c:pt idx="226">
                  <c:v>172.77396876674413</c:v>
                </c:pt>
                <c:pt idx="227">
                  <c:v>171.75849766263326</c:v>
                </c:pt>
                <c:pt idx="228">
                  <c:v>170.73964165484205</c:v>
                </c:pt>
                <c:pt idx="229">
                  <c:v>169.71738946035819</c:v>
                </c:pt>
                <c:pt idx="230">
                  <c:v>168.69172975855938</c:v>
                </c:pt>
                <c:pt idx="231">
                  <c:v>167.66265119108792</c:v>
                </c:pt>
                <c:pt idx="232">
                  <c:v>166.63014236172486</c:v>
                </c:pt>
                <c:pt idx="233">
                  <c:v>165.59419183626397</c:v>
                </c:pt>
                <c:pt idx="234">
                  <c:v>164.55478814238484</c:v>
                </c:pt>
                <c:pt idx="235">
                  <c:v>163.51191976952612</c:v>
                </c:pt>
                <c:pt idx="236">
                  <c:v>162.46557516875788</c:v>
                </c:pt>
                <c:pt idx="237">
                  <c:v>161.41574275265373</c:v>
                </c:pt>
                <c:pt idx="238">
                  <c:v>160.36241089516258</c:v>
                </c:pt>
                <c:pt idx="239">
                  <c:v>159.30556793147977</c:v>
                </c:pt>
                <c:pt idx="240">
                  <c:v>158.24520215791804</c:v>
                </c:pt>
                <c:pt idx="241">
                  <c:v>157.18130183177774</c:v>
                </c:pt>
                <c:pt idx="242">
                  <c:v>156.11385517121701</c:v>
                </c:pt>
                <c:pt idx="243">
                  <c:v>155.04285035512109</c:v>
                </c:pt>
                <c:pt idx="244">
                  <c:v>153.96827552297148</c:v>
                </c:pt>
                <c:pt idx="245">
                  <c:v>152.89011877471472</c:v>
                </c:pt>
                <c:pt idx="246">
                  <c:v>151.80836817063044</c:v>
                </c:pt>
                <c:pt idx="247">
                  <c:v>150.72301173119922</c:v>
                </c:pt>
                <c:pt idx="248">
                  <c:v>149.63403743696989</c:v>
                </c:pt>
                <c:pt idx="249">
                  <c:v>148.54143322842646</c:v>
                </c:pt>
                <c:pt idx="250">
                  <c:v>147.44518700585454</c:v>
                </c:pt>
                <c:pt idx="251">
                  <c:v>146.34528662920738</c:v>
                </c:pt>
                <c:pt idx="252">
                  <c:v>145.24171991797141</c:v>
                </c:pt>
                <c:pt idx="253">
                  <c:v>144.1344746510313</c:v>
                </c:pt>
                <c:pt idx="254">
                  <c:v>143.02353856653474</c:v>
                </c:pt>
                <c:pt idx="255">
                  <c:v>141.90889936175651</c:v>
                </c:pt>
                <c:pt idx="256">
                  <c:v>140.79054469296236</c:v>
                </c:pt>
                <c:pt idx="257">
                  <c:v>139.66846217527225</c:v>
                </c:pt>
                <c:pt idx="258">
                  <c:v>138.54263938252316</c:v>
                </c:pt>
                <c:pt idx="259">
                  <c:v>137.41306384713158</c:v>
                </c:pt>
                <c:pt idx="260">
                  <c:v>136.27972305995533</c:v>
                </c:pt>
                <c:pt idx="261">
                  <c:v>135.14260447015519</c:v>
                </c:pt>
                <c:pt idx="262">
                  <c:v>134.00169548505571</c:v>
                </c:pt>
                <c:pt idx="263">
                  <c:v>132.8569834700059</c:v>
                </c:pt>
                <c:pt idx="264">
                  <c:v>131.70845574823923</c:v>
                </c:pt>
                <c:pt idx="265">
                  <c:v>130.55609960073338</c:v>
                </c:pt>
                <c:pt idx="266">
                  <c:v>129.39990226606915</c:v>
                </c:pt>
                <c:pt idx="267">
                  <c:v>128.23985094028939</c:v>
                </c:pt>
                <c:pt idx="268">
                  <c:v>127.07593277675701</c:v>
                </c:pt>
                <c:pt idx="269">
                  <c:v>125.90813488601289</c:v>
                </c:pt>
                <c:pt idx="270">
                  <c:v>124.73644433563292</c:v>
                </c:pt>
                <c:pt idx="271">
                  <c:v>123.56084815008504</c:v>
                </c:pt>
                <c:pt idx="272">
                  <c:v>122.3813333105853</c:v>
                </c:pt>
                <c:pt idx="273">
                  <c:v>121.19788675495393</c:v>
                </c:pt>
                <c:pt idx="274">
                  <c:v>120.01049537747045</c:v>
                </c:pt>
                <c:pt idx="275">
                  <c:v>118.81914602872868</c:v>
                </c:pt>
                <c:pt idx="276">
                  <c:v>117.62382551549111</c:v>
                </c:pt>
                <c:pt idx="277">
                  <c:v>116.42452060054273</c:v>
                </c:pt>
                <c:pt idx="278">
                  <c:v>115.22121800254453</c:v>
                </c:pt>
                <c:pt idx="279">
                  <c:v>114.01390439588636</c:v>
                </c:pt>
                <c:pt idx="280">
                  <c:v>112.8025664105393</c:v>
                </c:pt>
                <c:pt idx="281">
                  <c:v>111.58719063190776</c:v>
                </c:pt>
                <c:pt idx="282">
                  <c:v>110.36776360068077</c:v>
                </c:pt>
                <c:pt idx="283">
                  <c:v>109.14427181268304</c:v>
                </c:pt>
                <c:pt idx="284">
                  <c:v>107.91670171872532</c:v>
                </c:pt>
                <c:pt idx="285">
                  <c:v>106.6850397244544</c:v>
                </c:pt>
                <c:pt idx="286">
                  <c:v>105.44927219020258</c:v>
                </c:pt>
                <c:pt idx="287">
                  <c:v>104.20938543083659</c:v>
                </c:pt>
                <c:pt idx="288">
                  <c:v>102.96536571560604</c:v>
                </c:pt>
                <c:pt idx="289">
                  <c:v>101.71719926799139</c:v>
                </c:pt>
                <c:pt idx="290">
                  <c:v>100.46487226555135</c:v>
                </c:pt>
                <c:pt idx="291">
                  <c:v>99.208370839769856</c:v>
                </c:pt>
                <c:pt idx="292">
                  <c:v>97.947681075902423</c:v>
                </c:pt>
                <c:pt idx="293">
                  <c:v>96.682789012822099</c:v>
                </c:pt>
                <c:pt idx="294">
                  <c:v>95.413680642864833</c:v>
                </c:pt>
                <c:pt idx="295">
                  <c:v>94.140341911674383</c:v>
                </c:pt>
                <c:pt idx="296">
                  <c:v>92.862758718046635</c:v>
                </c:pt>
                <c:pt idx="297">
                  <c:v>91.58091691377345</c:v>
                </c:pt>
                <c:pt idx="298">
                  <c:v>90.294802303486037</c:v>
                </c:pt>
                <c:pt idx="299">
                  <c:v>89.004400644497665</c:v>
                </c:pt>
                <c:pt idx="300">
                  <c:v>87.709697646645992</c:v>
                </c:pt>
                <c:pt idx="301">
                  <c:v>86.410678972134804</c:v>
                </c:pt>
                <c:pt idx="302">
                  <c:v>85.107330235375244</c:v>
                </c:pt>
                <c:pt idx="303">
                  <c:v>83.799637002826501</c:v>
                </c:pt>
                <c:pt idx="304">
                  <c:v>82.487584792835918</c:v>
                </c:pt>
                <c:pt idx="305">
                  <c:v>81.171159408812031</c:v>
                </c:pt>
                <c:pt idx="306">
                  <c:v>79.850345606841401</c:v>
                </c:pt>
                <c:pt idx="307">
                  <c:v>78.525129425530878</c:v>
                </c:pt>
                <c:pt idx="308">
                  <c:v>77.195495523615975</c:v>
                </c:pt>
                <c:pt idx="309">
                  <c:v>75.861429842028031</c:v>
                </c:pt>
                <c:pt idx="310">
                  <c:v>74.52291694150145</c:v>
                </c:pt>
                <c:pt idx="311">
                  <c:v>73.179942664639782</c:v>
                </c:pt>
                <c:pt idx="312">
                  <c:v>71.832491473521912</c:v>
                </c:pt>
                <c:pt idx="313">
                  <c:v>70.48054911176699</c:v>
                </c:pt>
                <c:pt idx="314">
                  <c:v>69.124099942139537</c:v>
                </c:pt>
                <c:pt idx="315">
                  <c:v>67.76312960861334</c:v>
                </c:pt>
                <c:pt idx="316">
                  <c:v>66.397622373975381</c:v>
                </c:pt>
                <c:pt idx="317">
                  <c:v>65.027563781888631</c:v>
                </c:pt>
                <c:pt idx="318">
                  <c:v>63.652937994494927</c:v>
                </c:pt>
                <c:pt idx="319">
                  <c:v>62.273730454476578</c:v>
                </c:pt>
                <c:pt idx="320">
                  <c:v>60.889925222658157</c:v>
                </c:pt>
                <c:pt idx="321">
                  <c:v>59.501507640067018</c:v>
                </c:pt>
                <c:pt idx="322">
                  <c:v>58.108461665533909</c:v>
                </c:pt>
                <c:pt idx="323">
                  <c:v>56.710772537752348</c:v>
                </c:pt>
                <c:pt idx="324">
                  <c:v>55.308424112878193</c:v>
                </c:pt>
                <c:pt idx="325">
                  <c:v>53.90140152658779</c:v>
                </c:pt>
                <c:pt idx="326">
                  <c:v>52.489688531676414</c:v>
                </c:pt>
                <c:pt idx="327">
                  <c:v>51.073270160115335</c:v>
                </c:pt>
                <c:pt idx="328">
                  <c:v>49.65213006064905</c:v>
                </c:pt>
                <c:pt idx="329">
                  <c:v>48.226253160851215</c:v>
                </c:pt>
                <c:pt idx="330">
                  <c:v>46.795623004720717</c:v>
                </c:pt>
                <c:pt idx="331">
                  <c:v>45.360224414736457</c:v>
                </c:pt>
                <c:pt idx="332">
                  <c:v>43.92004082945224</c:v>
                </c:pt>
                <c:pt idx="333">
                  <c:v>42.475056965550415</c:v>
                </c:pt>
                <c:pt idx="334">
                  <c:v>41.025256155435585</c:v>
                </c:pt>
                <c:pt idx="335">
                  <c:v>39.57062300928704</c:v>
                </c:pt>
                <c:pt idx="336">
                  <c:v>38.111140752651323</c:v>
                </c:pt>
                <c:pt idx="337">
                  <c:v>36.646793888493498</c:v>
                </c:pt>
                <c:pt idx="338">
                  <c:v>35.177565534788478</c:v>
                </c:pt>
                <c:pt idx="339">
                  <c:v>33.703440086571106</c:v>
                </c:pt>
                <c:pt idx="340">
                  <c:v>32.224400553526344</c:v>
                </c:pt>
                <c:pt idx="341">
                  <c:v>30.740431222038097</c:v>
                </c:pt>
                <c:pt idx="342">
                  <c:v>29.251514992778226</c:v>
                </c:pt>
                <c:pt idx="343">
                  <c:v>27.757636042754154</c:v>
                </c:pt>
                <c:pt idx="344">
                  <c:v>26.258777162896671</c:v>
                </c:pt>
                <c:pt idx="345">
                  <c:v>24.754922420106325</c:v>
                </c:pt>
                <c:pt idx="346">
                  <c:v>23.24605449484001</c:v>
                </c:pt>
                <c:pt idx="347">
                  <c:v>21.732157343156143</c:v>
                </c:pt>
                <c:pt idx="348">
                  <c:v>20.213213534299996</c:v>
                </c:pt>
                <c:pt idx="349">
                  <c:v>18.689206912747661</c:v>
                </c:pt>
                <c:pt idx="350">
                  <c:v>17.160119935790153</c:v>
                </c:pt>
                <c:pt idx="351">
                  <c:v>15.625936335576117</c:v>
                </c:pt>
                <c:pt idx="352">
                  <c:v>14.086638456694704</c:v>
                </c:pt>
                <c:pt idx="353">
                  <c:v>12.54220991821702</c:v>
                </c:pt>
                <c:pt idx="354">
                  <c:v>10.992632951277743</c:v>
                </c:pt>
                <c:pt idx="355">
                  <c:v>9.4378910611153355</c:v>
                </c:pt>
                <c:pt idx="356">
                  <c:v>7.8779663646523863</c:v>
                </c:pt>
                <c:pt idx="357">
                  <c:v>6.3128422525345611</c:v>
                </c:pt>
                <c:pt idx="358">
                  <c:v>4.7425007267096762</c:v>
                </c:pt>
                <c:pt idx="359">
                  <c:v>3.1669250624653746</c:v>
                </c:pt>
                <c:pt idx="360">
                  <c:v>1.5860971460069258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3-C745-857B-36419D53014D}"/>
            </c:ext>
          </c:extLst>
        </c:ser>
        <c:ser>
          <c:idx val="1"/>
          <c:order val="1"/>
          <c:tx>
            <c:strRef>
              <c:f>Sheet1!$I$30</c:f>
              <c:strCache>
                <c:ptCount val="1"/>
                <c:pt idx="0">
                  <c:v>Principal</c:v>
                </c:pt>
              </c:strCache>
            </c:strRef>
          </c:tx>
          <c:marker>
            <c:symbol val="none"/>
          </c:marker>
          <c:cat>
            <c:numRef>
              <c:f>Sheet1!$B$31:$B$391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cat>
          <c:val>
            <c:numRef>
              <c:f>Sheet1!$I$31:$I$391</c:f>
              <c:numCache>
                <c:formatCode>_("$"* #,##0.00_);_("$"* \(#,##0.00\);_("$"* "-"??_);_(@_)</c:formatCode>
                <c:ptCount val="361"/>
                <c:pt idx="1">
                  <c:v>144.08196666666663</c:v>
                </c:pt>
                <c:pt idx="2">
                  <c:v>144.56223988888888</c:v>
                </c:pt>
                <c:pt idx="3">
                  <c:v>145.04411402185184</c:v>
                </c:pt>
                <c:pt idx="4">
                  <c:v>145.52759440192466</c:v>
                </c:pt>
                <c:pt idx="5">
                  <c:v>146.01268638326439</c:v>
                </c:pt>
                <c:pt idx="6">
                  <c:v>146.49939533787534</c:v>
                </c:pt>
                <c:pt idx="7">
                  <c:v>146.98772665566821</c:v>
                </c:pt>
                <c:pt idx="8">
                  <c:v>147.47768574452044</c:v>
                </c:pt>
                <c:pt idx="9">
                  <c:v>147.96927803033554</c:v>
                </c:pt>
                <c:pt idx="10">
                  <c:v>148.4625089571033</c:v>
                </c:pt>
                <c:pt idx="11">
                  <c:v>148.95738398696034</c:v>
                </c:pt>
                <c:pt idx="12">
                  <c:v>149.4539086002502</c:v>
                </c:pt>
                <c:pt idx="13">
                  <c:v>149.95208829558436</c:v>
                </c:pt>
                <c:pt idx="14">
                  <c:v>150.45192858990293</c:v>
                </c:pt>
                <c:pt idx="15">
                  <c:v>150.95343501853597</c:v>
                </c:pt>
                <c:pt idx="16">
                  <c:v>151.45661313526443</c:v>
                </c:pt>
                <c:pt idx="17">
                  <c:v>151.961468512382</c:v>
                </c:pt>
                <c:pt idx="18">
                  <c:v>152.46800674075655</c:v>
                </c:pt>
                <c:pt idx="19">
                  <c:v>152.97623342989243</c:v>
                </c:pt>
                <c:pt idx="20">
                  <c:v>153.48615420799206</c:v>
                </c:pt>
                <c:pt idx="21">
                  <c:v>153.99777472201868</c:v>
                </c:pt>
                <c:pt idx="22">
                  <c:v>154.51110063775877</c:v>
                </c:pt>
                <c:pt idx="23">
                  <c:v>155.02613763988461</c:v>
                </c:pt>
                <c:pt idx="24">
                  <c:v>155.5428914320176</c:v>
                </c:pt>
                <c:pt idx="25">
                  <c:v>156.061367736791</c:v>
                </c:pt>
                <c:pt idx="26">
                  <c:v>156.58157229591365</c:v>
                </c:pt>
                <c:pt idx="27">
                  <c:v>157.10351087023332</c:v>
                </c:pt>
                <c:pt idx="28">
                  <c:v>157.62718923980077</c:v>
                </c:pt>
                <c:pt idx="29">
                  <c:v>158.15261320393347</c:v>
                </c:pt>
                <c:pt idx="30">
                  <c:v>158.67978858127992</c:v>
                </c:pt>
                <c:pt idx="31">
                  <c:v>159.20872120988417</c:v>
                </c:pt>
                <c:pt idx="32">
                  <c:v>159.73941694725045</c:v>
                </c:pt>
                <c:pt idx="33">
                  <c:v>160.27188167040799</c:v>
                </c:pt>
                <c:pt idx="34">
                  <c:v>160.80612127597601</c:v>
                </c:pt>
                <c:pt idx="35">
                  <c:v>161.3421416802293</c:v>
                </c:pt>
                <c:pt idx="36">
                  <c:v>161.87994881916342</c:v>
                </c:pt>
                <c:pt idx="37">
                  <c:v>162.41954864856058</c:v>
                </c:pt>
                <c:pt idx="38">
                  <c:v>162.96094714405575</c:v>
                </c:pt>
                <c:pt idx="39">
                  <c:v>163.50415030120263</c:v>
                </c:pt>
                <c:pt idx="40">
                  <c:v>164.04916413553997</c:v>
                </c:pt>
                <c:pt idx="41">
                  <c:v>164.59599468265839</c:v>
                </c:pt>
                <c:pt idx="42">
                  <c:v>165.14464799826726</c:v>
                </c:pt>
                <c:pt idx="43">
                  <c:v>165.69513015826152</c:v>
                </c:pt>
                <c:pt idx="44">
                  <c:v>166.24744725878901</c:v>
                </c:pt>
                <c:pt idx="45">
                  <c:v>166.80160541631835</c:v>
                </c:pt>
                <c:pt idx="46">
                  <c:v>167.35761076770603</c:v>
                </c:pt>
                <c:pt idx="47">
                  <c:v>167.91546947026507</c:v>
                </c:pt>
                <c:pt idx="48">
                  <c:v>168.47518770183262</c:v>
                </c:pt>
                <c:pt idx="49">
                  <c:v>169.03677166083872</c:v>
                </c:pt>
                <c:pt idx="50">
                  <c:v>169.60022756637488</c:v>
                </c:pt>
                <c:pt idx="51">
                  <c:v>170.16556165826279</c:v>
                </c:pt>
                <c:pt idx="52">
                  <c:v>170.73278019712365</c:v>
                </c:pt>
                <c:pt idx="53">
                  <c:v>171.30188946444741</c:v>
                </c:pt>
                <c:pt idx="54">
                  <c:v>171.87289576266221</c:v>
                </c:pt>
                <c:pt idx="55">
                  <c:v>172.4458054152044</c:v>
                </c:pt>
                <c:pt idx="56">
                  <c:v>173.02062476658841</c:v>
                </c:pt>
                <c:pt idx="57">
                  <c:v>173.59736018247708</c:v>
                </c:pt>
                <c:pt idx="58">
                  <c:v>174.17601804975203</c:v>
                </c:pt>
                <c:pt idx="59">
                  <c:v>174.75660477658454</c:v>
                </c:pt>
                <c:pt idx="60">
                  <c:v>175.33912679250648</c:v>
                </c:pt>
                <c:pt idx="61">
                  <c:v>175.92359054848151</c:v>
                </c:pt>
                <c:pt idx="62">
                  <c:v>176.51000251697644</c:v>
                </c:pt>
                <c:pt idx="63">
                  <c:v>177.09836919203303</c:v>
                </c:pt>
                <c:pt idx="64">
                  <c:v>177.68869708933977</c:v>
                </c:pt>
                <c:pt idx="65">
                  <c:v>178.28099274630426</c:v>
                </c:pt>
                <c:pt idx="66">
                  <c:v>178.87526272212529</c:v>
                </c:pt>
                <c:pt idx="67">
                  <c:v>179.47151359786568</c:v>
                </c:pt>
                <c:pt idx="68">
                  <c:v>180.06975197652525</c:v>
                </c:pt>
                <c:pt idx="69">
                  <c:v>180.66998448311364</c:v>
                </c:pt>
                <c:pt idx="70">
                  <c:v>181.27221776472402</c:v>
                </c:pt>
                <c:pt idx="71">
                  <c:v>181.87645849060647</c:v>
                </c:pt>
                <c:pt idx="72">
                  <c:v>182.48271335224177</c:v>
                </c:pt>
                <c:pt idx="73">
                  <c:v>183.09098906341598</c:v>
                </c:pt>
                <c:pt idx="74">
                  <c:v>183.70129236029402</c:v>
                </c:pt>
                <c:pt idx="75">
                  <c:v>184.31363000149497</c:v>
                </c:pt>
                <c:pt idx="76">
                  <c:v>184.92800876816659</c:v>
                </c:pt>
                <c:pt idx="77">
                  <c:v>185.54443546406048</c:v>
                </c:pt>
                <c:pt idx="78">
                  <c:v>186.16291691560741</c:v>
                </c:pt>
                <c:pt idx="79">
                  <c:v>186.78345997199273</c:v>
                </c:pt>
                <c:pt idx="80">
                  <c:v>187.40607150523272</c:v>
                </c:pt>
                <c:pt idx="81">
                  <c:v>188.03075841025014</c:v>
                </c:pt>
                <c:pt idx="82">
                  <c:v>188.65752760495104</c:v>
                </c:pt>
                <c:pt idx="83">
                  <c:v>189.28638603030089</c:v>
                </c:pt>
                <c:pt idx="84">
                  <c:v>189.91734065040191</c:v>
                </c:pt>
                <c:pt idx="85">
                  <c:v>190.55039845256988</c:v>
                </c:pt>
                <c:pt idx="86">
                  <c:v>191.18556644741176</c:v>
                </c:pt>
                <c:pt idx="87">
                  <c:v>191.82285166890318</c:v>
                </c:pt>
                <c:pt idx="88">
                  <c:v>192.46226117446616</c:v>
                </c:pt>
                <c:pt idx="89">
                  <c:v>193.1038020450477</c:v>
                </c:pt>
                <c:pt idx="90">
                  <c:v>193.74748138519789</c:v>
                </c:pt>
                <c:pt idx="91">
                  <c:v>194.39330632314858</c:v>
                </c:pt>
                <c:pt idx="92">
                  <c:v>195.04128401089241</c:v>
                </c:pt>
                <c:pt idx="93">
                  <c:v>195.69142162426203</c:v>
                </c:pt>
                <c:pt idx="94">
                  <c:v>196.34372636300958</c:v>
                </c:pt>
                <c:pt idx="95">
                  <c:v>196.99820545088625</c:v>
                </c:pt>
                <c:pt idx="96">
                  <c:v>197.65486613572256</c:v>
                </c:pt>
                <c:pt idx="97">
                  <c:v>198.31371568950829</c:v>
                </c:pt>
                <c:pt idx="98">
                  <c:v>198.97476140847334</c:v>
                </c:pt>
                <c:pt idx="99">
                  <c:v>199.63801061316826</c:v>
                </c:pt>
                <c:pt idx="100">
                  <c:v>200.3034706485455</c:v>
                </c:pt>
                <c:pt idx="101">
                  <c:v>200.97114888404064</c:v>
                </c:pt>
                <c:pt idx="102">
                  <c:v>201.64105271365412</c:v>
                </c:pt>
                <c:pt idx="103">
                  <c:v>202.31318955603297</c:v>
                </c:pt>
                <c:pt idx="104">
                  <c:v>202.98756685455311</c:v>
                </c:pt>
                <c:pt idx="105">
                  <c:v>203.66419207740165</c:v>
                </c:pt>
                <c:pt idx="106">
                  <c:v>204.3430727176596</c:v>
                </c:pt>
                <c:pt idx="107">
                  <c:v>205.02421629338517</c:v>
                </c:pt>
                <c:pt idx="108">
                  <c:v>205.70763034769647</c:v>
                </c:pt>
                <c:pt idx="109">
                  <c:v>206.39332244885543</c:v>
                </c:pt>
                <c:pt idx="110">
                  <c:v>207.08130019035161</c:v>
                </c:pt>
                <c:pt idx="111">
                  <c:v>207.77157119098615</c:v>
                </c:pt>
                <c:pt idx="112">
                  <c:v>208.46414309495606</c:v>
                </c:pt>
                <c:pt idx="113">
                  <c:v>209.15902357193926</c:v>
                </c:pt>
                <c:pt idx="114">
                  <c:v>209.85622031717907</c:v>
                </c:pt>
                <c:pt idx="115">
                  <c:v>210.55574105156961</c:v>
                </c:pt>
                <c:pt idx="116">
                  <c:v>211.25759352174157</c:v>
                </c:pt>
                <c:pt idx="117">
                  <c:v>211.96178550014736</c:v>
                </c:pt>
                <c:pt idx="118">
                  <c:v>212.66832478514783</c:v>
                </c:pt>
                <c:pt idx="119">
                  <c:v>213.37721920109834</c:v>
                </c:pt>
                <c:pt idx="120">
                  <c:v>214.08847659843531</c:v>
                </c:pt>
                <c:pt idx="121">
                  <c:v>214.80210485376347</c:v>
                </c:pt>
                <c:pt idx="122">
                  <c:v>215.51811186994263</c:v>
                </c:pt>
                <c:pt idx="123">
                  <c:v>216.23650557617577</c:v>
                </c:pt>
                <c:pt idx="124">
                  <c:v>216.95729392809636</c:v>
                </c:pt>
                <c:pt idx="125">
                  <c:v>217.68048490785668</c:v>
                </c:pt>
                <c:pt idx="126">
                  <c:v>218.40608652421622</c:v>
                </c:pt>
                <c:pt idx="127">
                  <c:v>219.13410681263031</c:v>
                </c:pt>
                <c:pt idx="128">
                  <c:v>219.86455383533905</c:v>
                </c:pt>
                <c:pt idx="129">
                  <c:v>220.59743568145689</c:v>
                </c:pt>
                <c:pt idx="130">
                  <c:v>221.33276046706175</c:v>
                </c:pt>
                <c:pt idx="131">
                  <c:v>222.07053633528528</c:v>
                </c:pt>
                <c:pt idx="132">
                  <c:v>222.8107714564029</c:v>
                </c:pt>
                <c:pt idx="133">
                  <c:v>223.55347402792424</c:v>
                </c:pt>
                <c:pt idx="134">
                  <c:v>224.298652274684</c:v>
                </c:pt>
                <c:pt idx="135">
                  <c:v>225.04631444893292</c:v>
                </c:pt>
                <c:pt idx="136">
                  <c:v>225.79646883042938</c:v>
                </c:pt>
                <c:pt idx="137">
                  <c:v>226.54912372653081</c:v>
                </c:pt>
                <c:pt idx="138">
                  <c:v>227.30428747228595</c:v>
                </c:pt>
                <c:pt idx="139">
                  <c:v>228.06196843052689</c:v>
                </c:pt>
                <c:pt idx="140">
                  <c:v>228.82217499196199</c:v>
                </c:pt>
                <c:pt idx="141">
                  <c:v>229.58491557526852</c:v>
                </c:pt>
                <c:pt idx="142">
                  <c:v>230.35019862718607</c:v>
                </c:pt>
                <c:pt idx="143">
                  <c:v>231.11803262261003</c:v>
                </c:pt>
                <c:pt idx="144">
                  <c:v>231.88842606468543</c:v>
                </c:pt>
                <c:pt idx="145">
                  <c:v>232.66138748490107</c:v>
                </c:pt>
                <c:pt idx="146">
                  <c:v>233.43692544318407</c:v>
                </c:pt>
                <c:pt idx="147">
                  <c:v>234.21504852799467</c:v>
                </c:pt>
                <c:pt idx="148">
                  <c:v>234.99576535642132</c:v>
                </c:pt>
                <c:pt idx="149">
                  <c:v>235.77908457427606</c:v>
                </c:pt>
                <c:pt idx="150">
                  <c:v>236.56501485619029</c:v>
                </c:pt>
                <c:pt idx="151">
                  <c:v>237.3535649057109</c:v>
                </c:pt>
                <c:pt idx="152">
                  <c:v>238.14474345539662</c:v>
                </c:pt>
                <c:pt idx="153">
                  <c:v>238.93855926691461</c:v>
                </c:pt>
                <c:pt idx="154">
                  <c:v>239.73502113113767</c:v>
                </c:pt>
                <c:pt idx="155">
                  <c:v>240.53413786824149</c:v>
                </c:pt>
                <c:pt idx="156">
                  <c:v>241.33591832780226</c:v>
                </c:pt>
                <c:pt idx="157">
                  <c:v>242.14037138889495</c:v>
                </c:pt>
                <c:pt idx="158">
                  <c:v>242.94750596019128</c:v>
                </c:pt>
                <c:pt idx="159">
                  <c:v>243.75733098005861</c:v>
                </c:pt>
                <c:pt idx="160">
                  <c:v>244.56985541665884</c:v>
                </c:pt>
                <c:pt idx="161">
                  <c:v>245.3850882680477</c:v>
                </c:pt>
                <c:pt idx="162">
                  <c:v>246.20303856227449</c:v>
                </c:pt>
                <c:pt idx="163">
                  <c:v>247.0237153574821</c:v>
                </c:pt>
                <c:pt idx="164">
                  <c:v>247.84712774200705</c:v>
                </c:pt>
                <c:pt idx="165">
                  <c:v>248.6732848344804</c:v>
                </c:pt>
                <c:pt idx="166">
                  <c:v>249.50219578392867</c:v>
                </c:pt>
                <c:pt idx="167">
                  <c:v>250.33386976987512</c:v>
                </c:pt>
                <c:pt idx="168">
                  <c:v>251.16831600244137</c:v>
                </c:pt>
                <c:pt idx="169">
                  <c:v>252.00554372244952</c:v>
                </c:pt>
                <c:pt idx="170">
                  <c:v>252.84556220152436</c:v>
                </c:pt>
                <c:pt idx="171">
                  <c:v>253.68838074219607</c:v>
                </c:pt>
                <c:pt idx="172">
                  <c:v>254.5340086780034</c:v>
                </c:pt>
                <c:pt idx="173">
                  <c:v>255.38245537359674</c:v>
                </c:pt>
                <c:pt idx="174">
                  <c:v>256.23373022484202</c:v>
                </c:pt>
                <c:pt idx="175">
                  <c:v>257.08784265892484</c:v>
                </c:pt>
                <c:pt idx="176">
                  <c:v>257.94480213445462</c:v>
                </c:pt>
                <c:pt idx="177">
                  <c:v>258.80461814156945</c:v>
                </c:pt>
                <c:pt idx="178">
                  <c:v>259.66730020204136</c:v>
                </c:pt>
                <c:pt idx="179">
                  <c:v>260.53285786938147</c:v>
                </c:pt>
                <c:pt idx="180">
                  <c:v>261.40130072894613</c:v>
                </c:pt>
                <c:pt idx="181">
                  <c:v>262.2726383980426</c:v>
                </c:pt>
                <c:pt idx="182">
                  <c:v>263.14688052603606</c:v>
                </c:pt>
                <c:pt idx="183">
                  <c:v>264.02403679445615</c:v>
                </c:pt>
                <c:pt idx="184">
                  <c:v>264.90411691710437</c:v>
                </c:pt>
                <c:pt idx="185">
                  <c:v>265.78713064016142</c:v>
                </c:pt>
                <c:pt idx="186">
                  <c:v>266.67308774229525</c:v>
                </c:pt>
                <c:pt idx="187">
                  <c:v>267.5619980347696</c:v>
                </c:pt>
                <c:pt idx="188">
                  <c:v>268.45387136155216</c:v>
                </c:pt>
                <c:pt idx="189">
                  <c:v>269.34871759942399</c:v>
                </c:pt>
                <c:pt idx="190">
                  <c:v>270.24654665808873</c:v>
                </c:pt>
                <c:pt idx="191">
                  <c:v>271.14736848028235</c:v>
                </c:pt>
                <c:pt idx="192">
                  <c:v>272.05119304188332</c:v>
                </c:pt>
                <c:pt idx="193">
                  <c:v>272.95803035202294</c:v>
                </c:pt>
                <c:pt idx="194">
                  <c:v>273.86789045319631</c:v>
                </c:pt>
                <c:pt idx="195">
                  <c:v>274.78078342137366</c:v>
                </c:pt>
                <c:pt idx="196">
                  <c:v>275.69671936611155</c:v>
                </c:pt>
                <c:pt idx="197">
                  <c:v>276.61570843066528</c:v>
                </c:pt>
                <c:pt idx="198">
                  <c:v>277.53776079210081</c:v>
                </c:pt>
                <c:pt idx="199">
                  <c:v>278.46288666140788</c:v>
                </c:pt>
                <c:pt idx="200">
                  <c:v>279.39109628361257</c:v>
                </c:pt>
                <c:pt idx="201">
                  <c:v>280.3223999378913</c:v>
                </c:pt>
                <c:pt idx="202">
                  <c:v>281.25680793768424</c:v>
                </c:pt>
                <c:pt idx="203">
                  <c:v>282.19433063080987</c:v>
                </c:pt>
                <c:pt idx="204">
                  <c:v>283.13497839957921</c:v>
                </c:pt>
                <c:pt idx="205">
                  <c:v>284.07876166091114</c:v>
                </c:pt>
                <c:pt idx="206">
                  <c:v>285.02569086644746</c:v>
                </c:pt>
                <c:pt idx="207">
                  <c:v>285.97577650266896</c:v>
                </c:pt>
                <c:pt idx="208">
                  <c:v>286.92902909101122</c:v>
                </c:pt>
                <c:pt idx="209">
                  <c:v>287.88545918798127</c:v>
                </c:pt>
                <c:pt idx="210">
                  <c:v>288.84507738527452</c:v>
                </c:pt>
                <c:pt idx="211">
                  <c:v>289.80789430989211</c:v>
                </c:pt>
                <c:pt idx="212">
                  <c:v>290.77392062425838</c:v>
                </c:pt>
                <c:pt idx="213">
                  <c:v>291.74316702633928</c:v>
                </c:pt>
                <c:pt idx="214">
                  <c:v>292.71564424976043</c:v>
                </c:pt>
                <c:pt idx="215">
                  <c:v>293.69136306392625</c:v>
                </c:pt>
                <c:pt idx="216">
                  <c:v>294.67033427413935</c:v>
                </c:pt>
                <c:pt idx="217">
                  <c:v>295.65256872171983</c:v>
                </c:pt>
                <c:pt idx="218">
                  <c:v>296.63807728412553</c:v>
                </c:pt>
                <c:pt idx="219">
                  <c:v>297.62687087507265</c:v>
                </c:pt>
                <c:pt idx="220">
                  <c:v>298.61896044465618</c:v>
                </c:pt>
                <c:pt idx="221">
                  <c:v>299.61435697947172</c:v>
                </c:pt>
                <c:pt idx="222">
                  <c:v>300.6130715027366</c:v>
                </c:pt>
                <c:pt idx="223">
                  <c:v>301.61511507441242</c:v>
                </c:pt>
                <c:pt idx="224">
                  <c:v>302.62049879132712</c:v>
                </c:pt>
                <c:pt idx="225">
                  <c:v>303.62923378729823</c:v>
                </c:pt>
                <c:pt idx="226">
                  <c:v>304.64133123325587</c:v>
                </c:pt>
                <c:pt idx="227">
                  <c:v>305.65680233736674</c:v>
                </c:pt>
                <c:pt idx="228">
                  <c:v>306.67565834515796</c:v>
                </c:pt>
                <c:pt idx="229">
                  <c:v>307.69791053964184</c:v>
                </c:pt>
                <c:pt idx="230">
                  <c:v>308.7235702414406</c:v>
                </c:pt>
                <c:pt idx="231">
                  <c:v>309.75264880891211</c:v>
                </c:pt>
                <c:pt idx="232">
                  <c:v>310.78515763827511</c:v>
                </c:pt>
                <c:pt idx="233">
                  <c:v>311.82110816373603</c:v>
                </c:pt>
                <c:pt idx="234">
                  <c:v>312.86051185761517</c:v>
                </c:pt>
                <c:pt idx="235">
                  <c:v>313.90338023047389</c:v>
                </c:pt>
                <c:pt idx="236">
                  <c:v>314.94972483124212</c:v>
                </c:pt>
                <c:pt idx="237">
                  <c:v>315.99955724734627</c:v>
                </c:pt>
                <c:pt idx="238">
                  <c:v>317.05288910483739</c:v>
                </c:pt>
                <c:pt idx="239">
                  <c:v>318.1097320685202</c:v>
                </c:pt>
                <c:pt idx="240">
                  <c:v>319.17009784208199</c:v>
                </c:pt>
                <c:pt idx="241">
                  <c:v>320.23399816822223</c:v>
                </c:pt>
                <c:pt idx="242">
                  <c:v>321.30144482878302</c:v>
                </c:pt>
                <c:pt idx="243">
                  <c:v>322.37244964487888</c:v>
                </c:pt>
                <c:pt idx="244">
                  <c:v>323.44702447702855</c:v>
                </c:pt>
                <c:pt idx="245">
                  <c:v>324.52518122528528</c:v>
                </c:pt>
                <c:pt idx="246">
                  <c:v>325.60693182936956</c:v>
                </c:pt>
                <c:pt idx="247">
                  <c:v>326.69228826880078</c:v>
                </c:pt>
                <c:pt idx="248">
                  <c:v>327.78126256303011</c:v>
                </c:pt>
                <c:pt idx="249">
                  <c:v>328.87386677157355</c:v>
                </c:pt>
                <c:pt idx="250">
                  <c:v>329.97011299414544</c:v>
                </c:pt>
                <c:pt idx="251">
                  <c:v>331.07001337079259</c:v>
                </c:pt>
                <c:pt idx="252">
                  <c:v>332.17358008202859</c:v>
                </c:pt>
                <c:pt idx="253">
                  <c:v>333.28082534896873</c:v>
                </c:pt>
                <c:pt idx="254">
                  <c:v>334.39176143346526</c:v>
                </c:pt>
                <c:pt idx="255">
                  <c:v>335.50640063824346</c:v>
                </c:pt>
                <c:pt idx="256">
                  <c:v>336.62475530703762</c:v>
                </c:pt>
                <c:pt idx="257">
                  <c:v>337.74683782472778</c:v>
                </c:pt>
                <c:pt idx="258">
                  <c:v>338.87266061747687</c:v>
                </c:pt>
                <c:pt idx="259">
                  <c:v>340.00223615286842</c:v>
                </c:pt>
                <c:pt idx="260">
                  <c:v>341.13557694004464</c:v>
                </c:pt>
                <c:pt idx="261">
                  <c:v>342.27269552984478</c:v>
                </c:pt>
                <c:pt idx="262">
                  <c:v>343.41360451494427</c:v>
                </c:pt>
                <c:pt idx="263">
                  <c:v>344.5583165299941</c:v>
                </c:pt>
                <c:pt idx="264">
                  <c:v>345.7068442517608</c:v>
                </c:pt>
                <c:pt idx="265">
                  <c:v>346.85920039926663</c:v>
                </c:pt>
                <c:pt idx="266">
                  <c:v>348.01539773393085</c:v>
                </c:pt>
                <c:pt idx="267">
                  <c:v>349.17544905971062</c:v>
                </c:pt>
                <c:pt idx="268">
                  <c:v>350.33936722324302</c:v>
                </c:pt>
                <c:pt idx="269">
                  <c:v>351.50716511398713</c:v>
                </c:pt>
                <c:pt idx="270">
                  <c:v>352.67885566436706</c:v>
                </c:pt>
                <c:pt idx="271">
                  <c:v>353.85445184991499</c:v>
                </c:pt>
                <c:pt idx="272">
                  <c:v>355.03396668941468</c:v>
                </c:pt>
                <c:pt idx="273">
                  <c:v>356.21741324504609</c:v>
                </c:pt>
                <c:pt idx="274">
                  <c:v>357.40480462252958</c:v>
                </c:pt>
                <c:pt idx="275">
                  <c:v>358.59615397127129</c:v>
                </c:pt>
                <c:pt idx="276">
                  <c:v>359.79147448450891</c:v>
                </c:pt>
                <c:pt idx="277">
                  <c:v>360.99077939945727</c:v>
                </c:pt>
                <c:pt idx="278">
                  <c:v>362.19408199745544</c:v>
                </c:pt>
                <c:pt idx="279">
                  <c:v>363.40139560411365</c:v>
                </c:pt>
                <c:pt idx="280">
                  <c:v>364.61273358946073</c:v>
                </c:pt>
                <c:pt idx="281">
                  <c:v>365.82810936809221</c:v>
                </c:pt>
                <c:pt idx="282">
                  <c:v>367.04753639931926</c:v>
                </c:pt>
                <c:pt idx="283">
                  <c:v>368.27102818731697</c:v>
                </c:pt>
                <c:pt idx="284">
                  <c:v>369.49859828127467</c:v>
                </c:pt>
                <c:pt idx="285">
                  <c:v>370.73026027554562</c:v>
                </c:pt>
                <c:pt idx="286">
                  <c:v>371.96602780979742</c:v>
                </c:pt>
                <c:pt idx="287">
                  <c:v>373.20591456916338</c:v>
                </c:pt>
                <c:pt idx="288">
                  <c:v>374.44993428439398</c:v>
                </c:pt>
                <c:pt idx="289">
                  <c:v>375.69810073200858</c:v>
                </c:pt>
                <c:pt idx="290">
                  <c:v>376.95042773444868</c:v>
                </c:pt>
                <c:pt idx="291">
                  <c:v>378.20692916023017</c:v>
                </c:pt>
                <c:pt idx="292">
                  <c:v>379.46761892409756</c:v>
                </c:pt>
                <c:pt idx="293">
                  <c:v>380.73251098717787</c:v>
                </c:pt>
                <c:pt idx="294">
                  <c:v>382.00161935713516</c:v>
                </c:pt>
                <c:pt idx="295">
                  <c:v>383.2749580883256</c:v>
                </c:pt>
                <c:pt idx="296">
                  <c:v>384.55254128195338</c:v>
                </c:pt>
                <c:pt idx="297">
                  <c:v>385.83438308622658</c:v>
                </c:pt>
                <c:pt idx="298">
                  <c:v>387.12049769651395</c:v>
                </c:pt>
                <c:pt idx="299">
                  <c:v>388.41089935550235</c:v>
                </c:pt>
                <c:pt idx="300">
                  <c:v>389.70560235335404</c:v>
                </c:pt>
                <c:pt idx="301">
                  <c:v>391.0046210278652</c:v>
                </c:pt>
                <c:pt idx="302">
                  <c:v>392.30796976462477</c:v>
                </c:pt>
                <c:pt idx="303">
                  <c:v>393.6156629971735</c:v>
                </c:pt>
                <c:pt idx="304">
                  <c:v>394.92761520716408</c:v>
                </c:pt>
                <c:pt idx="305">
                  <c:v>396.24414059118794</c:v>
                </c:pt>
                <c:pt idx="306">
                  <c:v>397.56485439315861</c:v>
                </c:pt>
                <c:pt idx="307">
                  <c:v>398.89017057446915</c:v>
                </c:pt>
                <c:pt idx="308">
                  <c:v>400.21970447638404</c:v>
                </c:pt>
                <c:pt idx="309">
                  <c:v>401.55387015797197</c:v>
                </c:pt>
                <c:pt idx="310">
                  <c:v>402.89228305849861</c:v>
                </c:pt>
                <c:pt idx="311">
                  <c:v>404.23535733536022</c:v>
                </c:pt>
                <c:pt idx="312">
                  <c:v>405.58270852647809</c:v>
                </c:pt>
                <c:pt idx="313">
                  <c:v>406.934750888233</c:v>
                </c:pt>
                <c:pt idx="314">
                  <c:v>408.29110005786049</c:v>
                </c:pt>
                <c:pt idx="315">
                  <c:v>409.65217039138668</c:v>
                </c:pt>
                <c:pt idx="316">
                  <c:v>411.01757762602466</c:v>
                </c:pt>
                <c:pt idx="317">
                  <c:v>412.3877362181114</c:v>
                </c:pt>
                <c:pt idx="318">
                  <c:v>413.76226200550508</c:v>
                </c:pt>
                <c:pt idx="319">
                  <c:v>415.14156954552345</c:v>
                </c:pt>
                <c:pt idx="320">
                  <c:v>416.52527477734185</c:v>
                </c:pt>
                <c:pt idx="321">
                  <c:v>417.91379235993298</c:v>
                </c:pt>
                <c:pt idx="322">
                  <c:v>419.3067383344661</c:v>
                </c:pt>
                <c:pt idx="323">
                  <c:v>420.70452746224765</c:v>
                </c:pt>
                <c:pt idx="324">
                  <c:v>422.10677588712184</c:v>
                </c:pt>
                <c:pt idx="325">
                  <c:v>423.51389847341221</c:v>
                </c:pt>
                <c:pt idx="326">
                  <c:v>424.92551146832363</c:v>
                </c:pt>
                <c:pt idx="327">
                  <c:v>426.34202983988467</c:v>
                </c:pt>
                <c:pt idx="328">
                  <c:v>427.763069939351</c:v>
                </c:pt>
                <c:pt idx="329">
                  <c:v>429.18904683914877</c:v>
                </c:pt>
                <c:pt idx="330">
                  <c:v>430.61957699527932</c:v>
                </c:pt>
                <c:pt idx="331">
                  <c:v>432.05507558526352</c:v>
                </c:pt>
                <c:pt idx="332">
                  <c:v>433.49515917054777</c:v>
                </c:pt>
                <c:pt idx="333">
                  <c:v>434.94024303444957</c:v>
                </c:pt>
                <c:pt idx="334">
                  <c:v>436.38994384456441</c:v>
                </c:pt>
                <c:pt idx="335">
                  <c:v>437.84467699071297</c:v>
                </c:pt>
                <c:pt idx="336">
                  <c:v>439.30405924734873</c:v>
                </c:pt>
                <c:pt idx="337">
                  <c:v>440.7685061115065</c:v>
                </c:pt>
                <c:pt idx="338">
                  <c:v>442.23763446521156</c:v>
                </c:pt>
                <c:pt idx="339">
                  <c:v>443.7118599134289</c:v>
                </c:pt>
                <c:pt idx="340">
                  <c:v>445.1907994464737</c:v>
                </c:pt>
                <c:pt idx="341">
                  <c:v>446.67486877796193</c:v>
                </c:pt>
                <c:pt idx="342">
                  <c:v>448.16368500722183</c:v>
                </c:pt>
                <c:pt idx="343">
                  <c:v>449.65766395724586</c:v>
                </c:pt>
                <c:pt idx="344">
                  <c:v>451.15642283710338</c:v>
                </c:pt>
                <c:pt idx="345">
                  <c:v>452.66037757989369</c:v>
                </c:pt>
                <c:pt idx="346">
                  <c:v>454.16914550516003</c:v>
                </c:pt>
                <c:pt idx="347">
                  <c:v>455.68314265684387</c:v>
                </c:pt>
                <c:pt idx="348">
                  <c:v>457.20198646570003</c:v>
                </c:pt>
                <c:pt idx="349">
                  <c:v>458.72609308725237</c:v>
                </c:pt>
                <c:pt idx="350">
                  <c:v>460.25508006420989</c:v>
                </c:pt>
                <c:pt idx="351">
                  <c:v>461.78936366442389</c:v>
                </c:pt>
                <c:pt idx="352">
                  <c:v>463.32856154330534</c:v>
                </c:pt>
                <c:pt idx="353">
                  <c:v>464.873090081783</c:v>
                </c:pt>
                <c:pt idx="354">
                  <c:v>466.42256704872227</c:v>
                </c:pt>
                <c:pt idx="355">
                  <c:v>467.97740893888465</c:v>
                </c:pt>
                <c:pt idx="356">
                  <c:v>469.53723363534766</c:v>
                </c:pt>
                <c:pt idx="357">
                  <c:v>471.10245774746545</c:v>
                </c:pt>
                <c:pt idx="358">
                  <c:v>472.67269927329033</c:v>
                </c:pt>
                <c:pt idx="359">
                  <c:v>474.24837493753461</c:v>
                </c:pt>
                <c:pt idx="360">
                  <c:v>475.82910285399311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93-C745-857B-36419D530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2673920"/>
        <c:axId val="243372032"/>
      </c:lineChart>
      <c:catAx>
        <c:axId val="242673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3372032"/>
        <c:crosses val="autoZero"/>
        <c:auto val="1"/>
        <c:lblAlgn val="ctr"/>
        <c:lblOffset val="100"/>
        <c:tickLblSkip val="30"/>
        <c:tickMarkSkip val="30"/>
        <c:noMultiLvlLbl val="0"/>
      </c:catAx>
      <c:valAx>
        <c:axId val="24337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26739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Sheet1!$O$30</c:f>
              <c:strCache>
                <c:ptCount val="1"/>
                <c:pt idx="0">
                  <c:v>Interest</c:v>
                </c:pt>
              </c:strCache>
            </c:strRef>
          </c:tx>
          <c:marker>
            <c:symbol val="none"/>
          </c:marker>
          <c:cat>
            <c:numRef>
              <c:f>Sheet1!$B$31:$B$391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cat>
          <c:val>
            <c:numRef>
              <c:f>Sheet1!$O$31:$O$391</c:f>
              <c:numCache>
                <c:formatCode>_("$"* #,##0.00_);_("$"* \(#,##0.00\);_("$"* "-"??_);_(@_)</c:formatCode>
                <c:ptCount val="361"/>
                <c:pt idx="1">
                  <c:v>332.77261914908684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12-D546-8FEC-98EE93AAAE03}"/>
            </c:ext>
          </c:extLst>
        </c:ser>
        <c:ser>
          <c:idx val="1"/>
          <c:order val="1"/>
          <c:tx>
            <c:strRef>
              <c:f>Sheet1!$U$30</c:f>
              <c:strCache>
                <c:ptCount val="1"/>
                <c:pt idx="0">
                  <c:v>Total Principal</c:v>
                </c:pt>
              </c:strCache>
            </c:strRef>
          </c:tx>
          <c:marker>
            <c:symbol val="none"/>
          </c:marker>
          <c:cat>
            <c:numRef>
              <c:f>Sheet1!$B$31:$B$391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cat>
          <c:val>
            <c:numRef>
              <c:f>Sheet1!$U$31:$U$391</c:f>
              <c:numCache>
                <c:formatCode>_("$"* #,##0.00_);_("$"* \(#,##0.00\);_("$"* "-"??_);_(@_)</c:formatCode>
                <c:ptCount val="36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12-D546-8FEC-98EE93AAAE03}"/>
            </c:ext>
          </c:extLst>
        </c:ser>
        <c:ser>
          <c:idx val="2"/>
          <c:order val="2"/>
          <c:tx>
            <c:strRef>
              <c:f>Sheet1!$T$30</c:f>
              <c:strCache>
                <c:ptCount val="1"/>
                <c:pt idx="0">
                  <c:v>Recoveries</c:v>
                </c:pt>
              </c:strCache>
            </c:strRef>
          </c:tx>
          <c:marker>
            <c:symbol val="none"/>
          </c:marker>
          <c:cat>
            <c:numRef>
              <c:f>Sheet1!$B$31:$B$391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cat>
          <c:val>
            <c:numRef>
              <c:f>Sheet1!$T$31:$T$391</c:f>
              <c:numCache>
                <c:formatCode>_("$"* #,##0.00_);_("$"* \(#,##0.00\);_("$"* "-"??_);_(@_)</c:formatCode>
                <c:ptCount val="36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20.185710632874887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12-D546-8FEC-98EE93AAA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3712640"/>
        <c:axId val="237391872"/>
      </c:lineChart>
      <c:catAx>
        <c:axId val="253712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7391872"/>
        <c:crosses val="autoZero"/>
        <c:auto val="1"/>
        <c:lblAlgn val="ctr"/>
        <c:lblOffset val="100"/>
        <c:tickLblSkip val="30"/>
        <c:tickMarkSkip val="30"/>
        <c:noMultiLvlLbl val="0"/>
      </c:catAx>
      <c:valAx>
        <c:axId val="23739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37126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76199</xdr:colOff>
      <xdr:row>0</xdr:row>
      <xdr:rowOff>66676</xdr:rowOff>
    </xdr:from>
    <xdr:to>
      <xdr:col>32</xdr:col>
      <xdr:colOff>1038224</xdr:colOff>
      <xdr:row>23</xdr:row>
      <xdr:rowOff>95251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19</xdr:row>
          <xdr:rowOff>25400</xdr:rowOff>
        </xdr:from>
        <xdr:to>
          <xdr:col>24</xdr:col>
          <xdr:colOff>215900</xdr:colOff>
          <xdr:row>24</xdr:row>
          <xdr:rowOff>114300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9900"/>
                  </a:solidFill>
                </a14:hiddenFill>
              </a:ext>
              <a:ext uri="{91240B29-F687-4F45-9708-019B960494DF}">
                <a14:hiddenLine w="9525">
                  <a:solidFill>
                    <a:srgbClr val="292929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977900</xdr:colOff>
          <xdr:row>13</xdr:row>
          <xdr:rowOff>50800</xdr:rowOff>
        </xdr:from>
        <xdr:to>
          <xdr:col>25</xdr:col>
          <xdr:colOff>63500</xdr:colOff>
          <xdr:row>17</xdr:row>
          <xdr:rowOff>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63500</xdr:colOff>
          <xdr:row>12</xdr:row>
          <xdr:rowOff>88900</xdr:rowOff>
        </xdr:from>
        <xdr:to>
          <xdr:col>23</xdr:col>
          <xdr:colOff>762000</xdr:colOff>
          <xdr:row>18</xdr:row>
          <xdr:rowOff>0</xdr:rowOff>
        </xdr:to>
        <xdr:sp macro="" textlink="">
          <xdr:nvSpPr>
            <xdr:cNvPr id="1027" name="Object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552450</xdr:colOff>
      <xdr:row>6</xdr:row>
      <xdr:rowOff>95250</xdr:rowOff>
    </xdr:from>
    <xdr:to>
      <xdr:col>9</xdr:col>
      <xdr:colOff>933450</xdr:colOff>
      <xdr:row>24</xdr:row>
      <xdr:rowOff>95250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904875</xdr:colOff>
      <xdr:row>6</xdr:row>
      <xdr:rowOff>76200</xdr:rowOff>
    </xdr:from>
    <xdr:to>
      <xdr:col>17</xdr:col>
      <xdr:colOff>238125</xdr:colOff>
      <xdr:row>24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215900</xdr:colOff>
          <xdr:row>16</xdr:row>
          <xdr:rowOff>25400</xdr:rowOff>
        </xdr:from>
        <xdr:to>
          <xdr:col>5</xdr:col>
          <xdr:colOff>444500</xdr:colOff>
          <xdr:row>24</xdr:row>
          <xdr:rowOff>25400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AG572"/>
  <sheetViews>
    <sheetView tabSelected="1" topLeftCell="D1" workbookViewId="0">
      <selection activeCell="Q32" sqref="Q32"/>
    </sheetView>
  </sheetViews>
  <sheetFormatPr baseColWidth="10" defaultColWidth="15.796875" defaultRowHeight="12" x14ac:dyDescent="0.15"/>
  <cols>
    <col min="1" max="1" width="9.19921875" customWidth="1"/>
    <col min="2" max="7" width="15.796875" customWidth="1"/>
  </cols>
  <sheetData>
    <row r="3" spans="3:27" ht="13" thickBot="1" x14ac:dyDescent="0.2">
      <c r="C3" s="5" t="s">
        <v>3</v>
      </c>
      <c r="D3" s="5" t="s">
        <v>25</v>
      </c>
      <c r="E3" s="5" t="s">
        <v>22</v>
      </c>
      <c r="F3" s="5" t="s">
        <v>23</v>
      </c>
      <c r="G3" s="5" t="s">
        <v>1</v>
      </c>
      <c r="H3" s="5" t="s">
        <v>61</v>
      </c>
      <c r="I3" s="19" t="s">
        <v>24</v>
      </c>
      <c r="J3" s="19" t="s">
        <v>4</v>
      </c>
      <c r="K3" s="19" t="s">
        <v>5</v>
      </c>
      <c r="L3" s="19" t="s">
        <v>7</v>
      </c>
      <c r="M3" s="19" t="s">
        <v>6</v>
      </c>
      <c r="N3" s="5" t="s">
        <v>47</v>
      </c>
      <c r="O3" s="5" t="s">
        <v>46</v>
      </c>
      <c r="P3" s="5" t="s">
        <v>49</v>
      </c>
      <c r="Q3" s="5" t="s">
        <v>58</v>
      </c>
      <c r="R3" s="5" t="s">
        <v>59</v>
      </c>
      <c r="S3" s="5" t="s">
        <v>60</v>
      </c>
      <c r="X3" s="7" t="s">
        <v>18</v>
      </c>
      <c r="Y3" s="7" t="s">
        <v>19</v>
      </c>
      <c r="Z3" s="7"/>
    </row>
    <row r="4" spans="3:27" x14ac:dyDescent="0.15">
      <c r="C4" s="21">
        <v>100000</v>
      </c>
      <c r="D4" s="22">
        <v>1</v>
      </c>
      <c r="E4" s="23">
        <v>360</v>
      </c>
      <c r="F4" s="1">
        <f>E4</f>
        <v>360</v>
      </c>
      <c r="G4" s="23" t="s">
        <v>26</v>
      </c>
      <c r="H4" s="24">
        <v>0.04</v>
      </c>
      <c r="I4" s="20">
        <v>0.04</v>
      </c>
      <c r="J4" s="20">
        <v>2.5000000000000001E-3</v>
      </c>
      <c r="K4" s="20">
        <v>2.5000000000000001E-3</v>
      </c>
      <c r="L4" s="20">
        <v>0.06</v>
      </c>
      <c r="M4" s="20">
        <v>0.03</v>
      </c>
      <c r="N4" s="23" t="s">
        <v>48</v>
      </c>
      <c r="O4" s="26">
        <v>1</v>
      </c>
      <c r="P4" s="23" t="s">
        <v>2</v>
      </c>
      <c r="Q4" s="26">
        <v>0.02</v>
      </c>
      <c r="R4" s="26">
        <v>0.12</v>
      </c>
      <c r="S4" s="23">
        <v>12</v>
      </c>
      <c r="W4" t="s">
        <v>30</v>
      </c>
      <c r="X4" s="8">
        <f>IRR(W31:W391,0.01)*12</f>
        <v>3.9999999989731805E-2</v>
      </c>
      <c r="Y4" s="8" t="e">
        <f ca="1">IRR(Y31:Y391,0.01)*12</f>
        <v>#VALUE!</v>
      </c>
      <c r="Z4" s="8"/>
    </row>
    <row r="5" spans="3:27" x14ac:dyDescent="0.15">
      <c r="W5" t="s">
        <v>50</v>
      </c>
      <c r="X5" s="6">
        <v>0</v>
      </c>
      <c r="Y5" s="6" t="e">
        <f>SUM(R32:R391)/V31</f>
        <v>#VALUE!</v>
      </c>
      <c r="Z5" s="6"/>
    </row>
    <row r="6" spans="3:27" x14ac:dyDescent="0.15">
      <c r="W6" t="s">
        <v>34</v>
      </c>
      <c r="X6" s="6">
        <v>0</v>
      </c>
      <c r="Y6" s="6" t="e">
        <f>SUM(M32:M391)/V31</f>
        <v>#VALUE!</v>
      </c>
      <c r="Z6" s="6"/>
    </row>
    <row r="7" spans="3:27" x14ac:dyDescent="0.15">
      <c r="W7" t="s">
        <v>38</v>
      </c>
      <c r="X7" s="6">
        <f>(1-(1-X6)^(1/(X11)))-(1-(1-X6)^(1/(X11)))*(1-(1-X5)^(1/X11))</f>
        <v>0</v>
      </c>
      <c r="Y7" s="6" t="e">
        <f ca="1">(1-(1-Y6)^(1/(Y11)))-(1-(1-Y6)^(1/(Y11)))*(1-(1-Y5)^(1/Y11))</f>
        <v>#VALUE!</v>
      </c>
      <c r="Z7" s="6"/>
    </row>
    <row r="8" spans="3:27" x14ac:dyDescent="0.15">
      <c r="W8" t="s">
        <v>33</v>
      </c>
      <c r="X8" s="6">
        <v>0</v>
      </c>
      <c r="Y8" s="6" t="e">
        <f ca="1">(SUM(M32:M391)-SUM(T32:T391))/V31</f>
        <v>#VALUE!</v>
      </c>
      <c r="Z8" s="6"/>
    </row>
    <row r="9" spans="3:27" x14ac:dyDescent="0.15">
      <c r="W9" t="s">
        <v>53</v>
      </c>
      <c r="X9" s="6">
        <v>0</v>
      </c>
      <c r="Y9" s="6" t="e">
        <f>IF(Y6=0,0,1-Y8/Y6)</f>
        <v>#VALUE!</v>
      </c>
      <c r="Z9" s="6"/>
    </row>
    <row r="10" spans="3:27" x14ac:dyDescent="0.15">
      <c r="W10" t="s">
        <v>32</v>
      </c>
      <c r="X10" s="14">
        <f>SUMPRODUCT(I32:I391,B32:B391)/SUM(I32:I391)/12</f>
        <v>17.967376280309928</v>
      </c>
      <c r="Y10" s="14" t="e">
        <f>SUMPRODUCT(U32:U391,B32:B391)/SUM(U32:U391)/12</f>
        <v>#VALUE!</v>
      </c>
      <c r="Z10" s="14"/>
      <c r="AA10" s="2"/>
    </row>
    <row r="11" spans="3:27" x14ac:dyDescent="0.15">
      <c r="W11" t="s">
        <v>52</v>
      </c>
      <c r="X11" s="14">
        <f>SUMPRODUCT(W32:W391,Z32:Z391,B32:B391)/SUMPRODUCT(W32:W391,Z32:Z391)/12/(1+X4)</f>
        <v>11.649958262884297</v>
      </c>
      <c r="Y11" s="14" t="e">
        <f ca="1">SUMPRODUCT(Y32:Y391,AA32:AA391,B32:B391)/SUMPRODUCT(Y32:Y391,AA32:AA391)/12/(1+Y4)</f>
        <v>#VALUE!</v>
      </c>
    </row>
    <row r="12" spans="3:27" x14ac:dyDescent="0.15">
      <c r="W12" t="s">
        <v>31</v>
      </c>
      <c r="X12" s="14" t="e">
        <f ca="1">(SUMPRODUCT(W32:W391,AA32:AA391,AG32:AG391)*(1/(1+X4/12)^2))/SUMPRODUCT(W32:W391,AA32:AA391)/12</f>
        <v>#VALUE!</v>
      </c>
      <c r="Y12" s="14" t="e">
        <f ca="1">(SUMPRODUCT(Y32:Y391,AA32:AA391,AG32:AG391)*(1/(1+Y4/12)^2))/SUMPRODUCT(Y32:Y391,AA32:AA391)/12</f>
        <v>#VALUE!</v>
      </c>
      <c r="Z12" s="14"/>
    </row>
    <row r="13" spans="3:27" x14ac:dyDescent="0.15">
      <c r="U13" s="12">
        <f>20000000/21.5</f>
        <v>930232.5581395349</v>
      </c>
    </row>
    <row r="22" spans="2:33" x14ac:dyDescent="0.15">
      <c r="H22" s="2"/>
    </row>
    <row r="27" spans="2:33" x14ac:dyDescent="0.15">
      <c r="B27" s="15" t="s">
        <v>56</v>
      </c>
      <c r="C27" s="16"/>
      <c r="D27" s="16"/>
      <c r="E27" s="16"/>
      <c r="F27" s="16"/>
      <c r="G27" s="17">
        <f>SUM(G32:G391)</f>
        <v>171869.50509999844</v>
      </c>
      <c r="H27" s="17">
        <f>SUM(H32:H391)</f>
        <v>71869.505140948226</v>
      </c>
      <c r="I27" s="17">
        <f>SUM(I32:I391)</f>
        <v>99999.999959051798</v>
      </c>
      <c r="J27" s="16"/>
      <c r="K27" s="16"/>
      <c r="L27" s="16"/>
      <c r="M27" s="17" t="e">
        <f>SUM(M32:M391)</f>
        <v>#VALUE!</v>
      </c>
      <c r="N27" s="15"/>
      <c r="O27" s="17" t="e">
        <f>SUM(O32:O391)</f>
        <v>#VALUE!</v>
      </c>
      <c r="P27" s="18"/>
      <c r="Q27" s="16"/>
      <c r="R27" s="17" t="e">
        <f>SUM(R32:R391)</f>
        <v>#VALUE!</v>
      </c>
      <c r="S27" s="17" t="e">
        <f>SUM(S32:S391)</f>
        <v>#VALUE!</v>
      </c>
      <c r="T27" s="17" t="e">
        <f ca="1">SUM(T32:T391)</f>
        <v>#VALUE!</v>
      </c>
      <c r="U27" s="17" t="e">
        <f>SUM(U32:U391)</f>
        <v>#VALUE!</v>
      </c>
      <c r="V27" s="16"/>
      <c r="W27" s="17">
        <f>SUM(W32:W391)</f>
        <v>171869.50509999844</v>
      </c>
      <c r="X27" s="17" t="e">
        <f ca="1">SUM(X32:X391)</f>
        <v>#VALUE!</v>
      </c>
      <c r="Y27" s="17" t="e">
        <f ca="1">SUM(Y32:Y391)</f>
        <v>#VALUE!</v>
      </c>
      <c r="Z27" s="18"/>
      <c r="AA27" s="18"/>
      <c r="AB27" s="16"/>
      <c r="AC27" s="16"/>
      <c r="AD27" s="16"/>
      <c r="AE27" s="16"/>
      <c r="AF27" s="16"/>
      <c r="AG27" s="16"/>
    </row>
    <row r="29" spans="2:33" ht="15" x14ac:dyDescent="0.3">
      <c r="B29" s="4" t="s">
        <v>21</v>
      </c>
      <c r="C29" s="4"/>
      <c r="D29" s="4"/>
      <c r="E29" s="4" t="s">
        <v>18</v>
      </c>
      <c r="F29" s="4"/>
      <c r="G29" s="4"/>
      <c r="H29" s="4"/>
      <c r="I29" s="4"/>
      <c r="J29" s="4"/>
      <c r="K29" s="4" t="s">
        <v>19</v>
      </c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 t="s">
        <v>35</v>
      </c>
      <c r="X29" s="4"/>
      <c r="Y29" s="4"/>
      <c r="Z29" s="4" t="s">
        <v>40</v>
      </c>
      <c r="AA29" s="4"/>
      <c r="AB29" s="4"/>
      <c r="AC29" s="4"/>
      <c r="AD29" s="4"/>
      <c r="AE29" s="4"/>
      <c r="AF29" s="4"/>
      <c r="AG29" s="4"/>
    </row>
    <row r="30" spans="2:33" ht="13" thickBot="1" x14ac:dyDescent="0.2">
      <c r="B30" s="5" t="s">
        <v>8</v>
      </c>
      <c r="C30" s="5" t="s">
        <v>9</v>
      </c>
      <c r="D30" s="5" t="s">
        <v>0</v>
      </c>
      <c r="E30" s="5" t="s">
        <v>10</v>
      </c>
      <c r="F30" s="5" t="s">
        <v>17</v>
      </c>
      <c r="G30" s="5" t="s">
        <v>57</v>
      </c>
      <c r="H30" s="5" t="s">
        <v>12</v>
      </c>
      <c r="I30" s="5" t="s">
        <v>11</v>
      </c>
      <c r="J30" s="5" t="s">
        <v>14</v>
      </c>
      <c r="K30" s="5" t="s">
        <v>10</v>
      </c>
      <c r="L30" s="5" t="s">
        <v>27</v>
      </c>
      <c r="M30" s="5" t="s">
        <v>15</v>
      </c>
      <c r="N30" s="5" t="s">
        <v>17</v>
      </c>
      <c r="O30" s="5" t="s">
        <v>12</v>
      </c>
      <c r="P30" s="5" t="s">
        <v>20</v>
      </c>
      <c r="Q30" s="5" t="s">
        <v>28</v>
      </c>
      <c r="R30" s="5" t="s">
        <v>16</v>
      </c>
      <c r="S30" s="5" t="s">
        <v>11</v>
      </c>
      <c r="T30" s="5" t="s">
        <v>29</v>
      </c>
      <c r="U30" s="5" t="s">
        <v>51</v>
      </c>
      <c r="V30" s="5" t="s">
        <v>13</v>
      </c>
      <c r="W30" s="5" t="s">
        <v>36</v>
      </c>
      <c r="X30" s="5" t="s">
        <v>39</v>
      </c>
      <c r="Y30" s="5" t="s">
        <v>37</v>
      </c>
      <c r="Z30" s="5" t="s">
        <v>54</v>
      </c>
      <c r="AA30" s="5" t="s">
        <v>55</v>
      </c>
      <c r="AB30" s="5" t="s">
        <v>25</v>
      </c>
      <c r="AC30" s="5" t="s">
        <v>43</v>
      </c>
      <c r="AD30" s="5" t="s">
        <v>44</v>
      </c>
      <c r="AE30" s="5" t="s">
        <v>41</v>
      </c>
      <c r="AF30" s="5" t="s">
        <v>42</v>
      </c>
      <c r="AG30" s="5" t="s">
        <v>45</v>
      </c>
    </row>
    <row r="31" spans="2:33" x14ac:dyDescent="0.15">
      <c r="B31" s="1">
        <v>0</v>
      </c>
      <c r="C31" s="1">
        <f>B31+($E$4-$F$4)</f>
        <v>0</v>
      </c>
      <c r="F31" s="3">
        <f>I4</f>
        <v>0.04</v>
      </c>
      <c r="J31" s="2">
        <f>$C$4*$D$4</f>
        <v>100000</v>
      </c>
      <c r="P31" s="10">
        <f t="shared" ref="P31:P94" si="0">J31/$J$31</f>
        <v>1</v>
      </c>
      <c r="S31" s="2"/>
      <c r="U31" s="2"/>
      <c r="V31" s="2">
        <f>$C$4*$D$4</f>
        <v>100000</v>
      </c>
      <c r="W31" s="2">
        <f>-J31</f>
        <v>-100000</v>
      </c>
      <c r="X31" s="2"/>
      <c r="Y31" s="2">
        <f>-V31</f>
        <v>-100000</v>
      </c>
      <c r="Z31" s="10">
        <f>1/((1+$X$4/12)^B31)</f>
        <v>1</v>
      </c>
      <c r="AA31" s="10" t="e">
        <f t="shared" ref="AA31:AA94" ca="1" si="1">1/((1+$Y$4/12)^B31)</f>
        <v>#VALUE!</v>
      </c>
      <c r="AB31" s="11">
        <f>V31/$V$31</f>
        <v>1</v>
      </c>
      <c r="AC31" s="11">
        <f>SUM($S$31:S31)/$V$31</f>
        <v>0</v>
      </c>
      <c r="AD31" s="11">
        <f>SUM($S$31:S31,$R$31:R31,$T$31:T31)/$V$31</f>
        <v>0</v>
      </c>
      <c r="AE31" s="11">
        <f>SUM($M$31:M31)/$V$31</f>
        <v>0</v>
      </c>
      <c r="AF31" s="11">
        <f>SUM(SUM($M$31:M31),-SUM($T$31:T31))/$V$31</f>
        <v>0</v>
      </c>
      <c r="AG31">
        <f t="shared" ref="AG31:AG94" si="2">B31^2+B31</f>
        <v>0</v>
      </c>
    </row>
    <row r="32" spans="2:33" x14ac:dyDescent="0.15">
      <c r="B32" s="1">
        <f>B31+1</f>
        <v>1</v>
      </c>
      <c r="C32" s="1">
        <f t="shared" ref="C32:C95" si="3">B32+($E$4-$F$4)</f>
        <v>1</v>
      </c>
      <c r="D32" s="25">
        <v>2.0170000000000001E-3</v>
      </c>
      <c r="E32" s="2">
        <f t="shared" ref="E32:E95" si="4">J31</f>
        <v>100000</v>
      </c>
      <c r="F32" s="3">
        <f>MIN(MAX(IF($G$4="Fixed",0,D32)+$H$4,F31-$J$4,$M$4),F31+$K$4,$L$4)</f>
        <v>0.04</v>
      </c>
      <c r="G32" s="2">
        <f>IF(C32&lt;=$E$4,MIN(ROUND((E32*(F32/12)*(1+F32/12)^($E$4-C31))/((1+F32/12)^($E$4-C31)-1),4),E32+H32),0)</f>
        <v>477.4153</v>
      </c>
      <c r="H32" s="2">
        <f>F32/12*E32</f>
        <v>333.33333333333337</v>
      </c>
      <c r="I32" s="2">
        <f>G32-H32</f>
        <v>144.08196666666663</v>
      </c>
      <c r="J32" s="2">
        <f t="shared" ref="J32:J95" si="5">E32-I32</f>
        <v>99855.918033333335</v>
      </c>
      <c r="K32" s="2">
        <f>V31</f>
        <v>100000</v>
      </c>
      <c r="L32" s="9">
        <v>1.6821425527395739E-3</v>
      </c>
      <c r="M32" s="2">
        <f t="shared" ref="M32:M95" si="6">L32*K32</f>
        <v>168.21425527395741</v>
      </c>
      <c r="N32" s="3">
        <f t="shared" ref="N32:N95" si="7">F32</f>
        <v>0.04</v>
      </c>
      <c r="O32" s="2">
        <f t="shared" ref="O32:O95" si="8">(K32-M32)*N32/12</f>
        <v>332.77261914908684</v>
      </c>
      <c r="P32" s="10">
        <f t="shared" si="0"/>
        <v>0.99855918033333335</v>
      </c>
      <c r="Q32" s="13" t="e" cm="1">
        <f t="array" ref="Q32">IF(N4="PSA",PSA($O$4),CPR($O$4))</f>
        <v>#VALUE!</v>
      </c>
      <c r="R32" s="2" t="e">
        <f>IF(C32&lt;=$E$4,(K32-M32)*P32/P31*Q32,0)</f>
        <v>#VALUE!</v>
      </c>
      <c r="S32" s="2">
        <f>IF(C32&lt;=$E$4,(K32-M32)*(1-P32/P31),0)</f>
        <v>143.83960025945245</v>
      </c>
      <c r="T32" s="2">
        <f t="shared" ref="T32:T95" ca="1" si="9">IF(B32&gt;=$S$4,OFFSET(M32,-$S$4,0)*$R$4,0)</f>
        <v>0</v>
      </c>
      <c r="U32" s="2" t="e">
        <f>R32+S32</f>
        <v>#VALUE!</v>
      </c>
      <c r="V32" s="2" t="e">
        <f t="shared" ref="V32:V95" si="10">K32-M32-R32-S32</f>
        <v>#VALUE!</v>
      </c>
      <c r="W32" s="2">
        <f t="shared" ref="W32:W95" si="11">H32+I32</f>
        <v>477.4153</v>
      </c>
      <c r="X32" s="2">
        <f t="shared" ref="X32:X95" ca="1" si="12">S32+T32</f>
        <v>143.83960025945245</v>
      </c>
      <c r="Y32" s="2" t="e">
        <f t="shared" ref="Y32:Y95" ca="1" si="13">O32+R32+S32+T32</f>
        <v>#VALUE!</v>
      </c>
      <c r="Z32" s="10">
        <f t="shared" ref="Z32:Z95" si="14">1/((1+$X$4/12)^B32)</f>
        <v>0.99667774086463734</v>
      </c>
      <c r="AA32" s="10" t="e">
        <f t="shared" ca="1" si="1"/>
        <v>#VALUE!</v>
      </c>
      <c r="AB32" s="11" t="e">
        <f t="shared" ref="AB32:AB95" si="15">V32/$V$31</f>
        <v>#VALUE!</v>
      </c>
      <c r="AC32" s="11">
        <f>SUM($S$31:S32)/$V$31</f>
        <v>1.4383960025945246E-3</v>
      </c>
      <c r="AD32" s="11" t="e">
        <f>SUM($S$31:S32,$R$31:R32,$T$31:T32)/$V$31</f>
        <v>#VALUE!</v>
      </c>
      <c r="AE32" s="11">
        <f>SUM($M$31:M32)/$V$31</f>
        <v>1.6821425527395741E-3</v>
      </c>
      <c r="AF32" s="11">
        <f ca="1">SUM(SUM($M$31:M32),-SUM($T$31:T32))/$V$31</f>
        <v>1.6821425527395741E-3</v>
      </c>
      <c r="AG32">
        <f t="shared" si="2"/>
        <v>2</v>
      </c>
    </row>
    <row r="33" spans="2:33" x14ac:dyDescent="0.15">
      <c r="B33" s="1">
        <f t="shared" ref="B33:B96" si="16">B32+1</f>
        <v>2</v>
      </c>
      <c r="C33" s="1">
        <f t="shared" si="3"/>
        <v>2</v>
      </c>
      <c r="D33" s="25">
        <v>2.0275733772649198E-3</v>
      </c>
      <c r="E33" s="2">
        <f>J32</f>
        <v>99855.918033333335</v>
      </c>
      <c r="F33" s="3">
        <f t="shared" ref="F33:F96" si="17">MIN(MAX(IF($G$4="Fixed",0,D33)+$H$4,F32-$J$4,$M$4),F32+$K$4,$L$4)</f>
        <v>0.04</v>
      </c>
      <c r="G33" s="2">
        <f t="shared" ref="G33:G96" si="18">IF(C33&lt;=$E$4,MIN(ROUND((E33*(F33/12)*(1+F33/12)^($E$4-C32))/((1+F33/12)^($E$4-C32)-1),4),E33+H33),0)</f>
        <v>477.4153</v>
      </c>
      <c r="H33" s="2">
        <f t="shared" ref="H33:H96" si="19">F33/12*E33</f>
        <v>332.85306011111112</v>
      </c>
      <c r="I33" s="2">
        <f t="shared" ref="I33:I96" si="20">G33-H33</f>
        <v>144.56223988888888</v>
      </c>
      <c r="J33" s="2">
        <f t="shared" si="5"/>
        <v>99711.35579344444</v>
      </c>
      <c r="K33" s="2" t="e">
        <f>V32</f>
        <v>#VALUE!</v>
      </c>
      <c r="L33" s="9">
        <v>1.6821425527395739E-3</v>
      </c>
      <c r="M33" s="2" t="e">
        <f t="shared" si="6"/>
        <v>#VALUE!</v>
      </c>
      <c r="N33" s="3">
        <f t="shared" si="7"/>
        <v>0.04</v>
      </c>
      <c r="O33" s="2" t="e">
        <f t="shared" si="8"/>
        <v>#VALUE!</v>
      </c>
      <c r="P33" s="10">
        <f t="shared" si="0"/>
        <v>0.99711355793444445</v>
      </c>
      <c r="Q33" s="13"/>
      <c r="R33" s="2" t="e">
        <f t="shared" ref="R33:R96" si="21">IF(C33&lt;=$E$4,(K33-M33)*P33/P32*Q33,0)</f>
        <v>#VALUE!</v>
      </c>
      <c r="S33" s="2" t="e">
        <f t="shared" ref="S33:S96" si="22">IF(C33&lt;=$E$4,(K33-M33)*(1-P33/P32),0)</f>
        <v>#VALUE!</v>
      </c>
      <c r="T33" s="2">
        <f t="shared" ca="1" si="9"/>
        <v>0</v>
      </c>
      <c r="U33" s="2" t="e">
        <f t="shared" ref="U33:U96" si="23">R33+S33</f>
        <v>#VALUE!</v>
      </c>
      <c r="V33" s="2" t="e">
        <f t="shared" si="10"/>
        <v>#VALUE!</v>
      </c>
      <c r="W33" s="2">
        <f t="shared" si="11"/>
        <v>477.4153</v>
      </c>
      <c r="X33" s="2" t="e">
        <f t="shared" ca="1" si="12"/>
        <v>#VALUE!</v>
      </c>
      <c r="Y33" s="2" t="e">
        <f t="shared" ca="1" si="13"/>
        <v>#VALUE!</v>
      </c>
      <c r="Z33" s="10">
        <f t="shared" si="14"/>
        <v>0.99336651913503726</v>
      </c>
      <c r="AA33" s="10" t="e">
        <f t="shared" ca="1" si="1"/>
        <v>#VALUE!</v>
      </c>
      <c r="AB33" s="11" t="e">
        <f t="shared" si="15"/>
        <v>#VALUE!</v>
      </c>
      <c r="AC33" s="11" t="e">
        <f>SUM($S$31:S33)/$V$31</f>
        <v>#VALUE!</v>
      </c>
      <c r="AD33" s="11" t="e">
        <f>SUM($S$31:S33,$R$31:R33,$T$31:T33)/$V$31</f>
        <v>#VALUE!</v>
      </c>
      <c r="AE33" s="11" t="e">
        <f>SUM($M$31:M33)/$V$31</f>
        <v>#VALUE!</v>
      </c>
      <c r="AF33" s="11" t="e">
        <f ca="1">SUM(SUM($M$31:M33),-SUM($T$31:T33))/$V$31</f>
        <v>#VALUE!</v>
      </c>
      <c r="AG33">
        <f t="shared" si="2"/>
        <v>6</v>
      </c>
    </row>
    <row r="34" spans="2:33" x14ac:dyDescent="0.15">
      <c r="B34" s="1">
        <f t="shared" si="16"/>
        <v>3</v>
      </c>
      <c r="C34" s="1">
        <f t="shared" si="3"/>
        <v>3</v>
      </c>
      <c r="D34" s="25">
        <v>2.07858927520787E-3</v>
      </c>
      <c r="E34" s="2">
        <f t="shared" si="4"/>
        <v>99711.35579344444</v>
      </c>
      <c r="F34" s="3">
        <f t="shared" si="17"/>
        <v>0.04</v>
      </c>
      <c r="G34" s="2">
        <f t="shared" si="18"/>
        <v>477.4153</v>
      </c>
      <c r="H34" s="2">
        <f t="shared" si="19"/>
        <v>332.37118597814816</v>
      </c>
      <c r="I34" s="2">
        <f t="shared" si="20"/>
        <v>145.04411402185184</v>
      </c>
      <c r="J34" s="2">
        <f t="shared" si="5"/>
        <v>99566.311679422593</v>
      </c>
      <c r="K34" s="2" t="e">
        <f t="shared" ref="K34:K97" si="24">V33</f>
        <v>#VALUE!</v>
      </c>
      <c r="L34" s="9">
        <v>1.6821425527395739E-3</v>
      </c>
      <c r="M34" s="2" t="e">
        <f t="shared" si="6"/>
        <v>#VALUE!</v>
      </c>
      <c r="N34" s="3">
        <f t="shared" si="7"/>
        <v>0.04</v>
      </c>
      <c r="O34" s="2" t="e">
        <f t="shared" si="8"/>
        <v>#VALUE!</v>
      </c>
      <c r="P34" s="10">
        <f t="shared" si="0"/>
        <v>0.99566311679422592</v>
      </c>
      <c r="Q34" s="13"/>
      <c r="R34" s="2" t="e">
        <f t="shared" si="21"/>
        <v>#VALUE!</v>
      </c>
      <c r="S34" s="2" t="e">
        <f t="shared" si="22"/>
        <v>#VALUE!</v>
      </c>
      <c r="T34" s="2">
        <f t="shared" ca="1" si="9"/>
        <v>0</v>
      </c>
      <c r="U34" s="2" t="e">
        <f t="shared" si="23"/>
        <v>#VALUE!</v>
      </c>
      <c r="V34" s="2" t="e">
        <f t="shared" si="10"/>
        <v>#VALUE!</v>
      </c>
      <c r="W34" s="2">
        <f t="shared" si="11"/>
        <v>477.4153</v>
      </c>
      <c r="X34" s="2" t="e">
        <f t="shared" ca="1" si="12"/>
        <v>#VALUE!</v>
      </c>
      <c r="Y34" s="2" t="e">
        <f t="shared" ca="1" si="13"/>
        <v>#VALUE!</v>
      </c>
      <c r="Z34" s="10">
        <f t="shared" si="14"/>
        <v>0.99006629814207747</v>
      </c>
      <c r="AA34" s="10" t="e">
        <f t="shared" ca="1" si="1"/>
        <v>#VALUE!</v>
      </c>
      <c r="AB34" s="11" t="e">
        <f t="shared" si="15"/>
        <v>#VALUE!</v>
      </c>
      <c r="AC34" s="11" t="e">
        <f>SUM($S$31:S34)/$V$31</f>
        <v>#VALUE!</v>
      </c>
      <c r="AD34" s="11" t="e">
        <f>SUM($S$31:S34,$R$31:R34,$T$31:T34)/$V$31</f>
        <v>#VALUE!</v>
      </c>
      <c r="AE34" s="11" t="e">
        <f>SUM($M$31:M34)/$V$31</f>
        <v>#VALUE!</v>
      </c>
      <c r="AF34" s="11" t="e">
        <f ca="1">SUM(SUM($M$31:M34),-SUM($T$31:T34))/$V$31</f>
        <v>#VALUE!</v>
      </c>
      <c r="AG34">
        <f t="shared" si="2"/>
        <v>12</v>
      </c>
    </row>
    <row r="35" spans="2:33" x14ac:dyDescent="0.15">
      <c r="B35" s="1">
        <f t="shared" si="16"/>
        <v>4</v>
      </c>
      <c r="C35" s="1">
        <f t="shared" si="3"/>
        <v>4</v>
      </c>
      <c r="D35" s="25">
        <v>2.1376878778027299E-3</v>
      </c>
      <c r="E35" s="2">
        <f t="shared" si="4"/>
        <v>99566.311679422593</v>
      </c>
      <c r="F35" s="3">
        <f t="shared" si="17"/>
        <v>0.04</v>
      </c>
      <c r="G35" s="2">
        <f t="shared" si="18"/>
        <v>477.4153</v>
      </c>
      <c r="H35" s="2">
        <f t="shared" si="19"/>
        <v>331.88770559807534</v>
      </c>
      <c r="I35" s="2">
        <f t="shared" si="20"/>
        <v>145.52759440192466</v>
      </c>
      <c r="J35" s="2">
        <f t="shared" si="5"/>
        <v>99420.78408502067</v>
      </c>
      <c r="K35" s="2" t="e">
        <f t="shared" si="24"/>
        <v>#VALUE!</v>
      </c>
      <c r="L35" s="9">
        <v>1.6821425527395739E-3</v>
      </c>
      <c r="M35" s="2" t="e">
        <f t="shared" si="6"/>
        <v>#VALUE!</v>
      </c>
      <c r="N35" s="3">
        <f t="shared" si="7"/>
        <v>0.04</v>
      </c>
      <c r="O35" s="2" t="e">
        <f t="shared" si="8"/>
        <v>#VALUE!</v>
      </c>
      <c r="P35" s="10">
        <f t="shared" si="0"/>
        <v>0.99420784085020675</v>
      </c>
      <c r="Q35" s="13"/>
      <c r="R35" s="2" t="e">
        <f t="shared" si="21"/>
        <v>#VALUE!</v>
      </c>
      <c r="S35" s="2" t="e">
        <f t="shared" si="22"/>
        <v>#VALUE!</v>
      </c>
      <c r="T35" s="2">
        <f t="shared" ca="1" si="9"/>
        <v>0</v>
      </c>
      <c r="U35" s="2" t="e">
        <f t="shared" si="23"/>
        <v>#VALUE!</v>
      </c>
      <c r="V35" s="2" t="e">
        <f t="shared" si="10"/>
        <v>#VALUE!</v>
      </c>
      <c r="W35" s="2">
        <f t="shared" si="11"/>
        <v>477.4153</v>
      </c>
      <c r="X35" s="2" t="e">
        <f t="shared" ca="1" si="12"/>
        <v>#VALUE!</v>
      </c>
      <c r="Y35" s="2" t="e">
        <f t="shared" ca="1" si="13"/>
        <v>#VALUE!</v>
      </c>
      <c r="Z35" s="10">
        <f t="shared" si="14"/>
        <v>0.98677704133846034</v>
      </c>
      <c r="AA35" s="10" t="e">
        <f t="shared" ca="1" si="1"/>
        <v>#VALUE!</v>
      </c>
      <c r="AB35" s="11" t="e">
        <f t="shared" si="15"/>
        <v>#VALUE!</v>
      </c>
      <c r="AC35" s="11" t="e">
        <f>SUM($S$31:S35)/$V$31</f>
        <v>#VALUE!</v>
      </c>
      <c r="AD35" s="11" t="e">
        <f>SUM($S$31:S35,$R$31:R35,$T$31:T35)/$V$31</f>
        <v>#VALUE!</v>
      </c>
      <c r="AE35" s="11" t="e">
        <f>SUM($M$31:M35)/$V$31</f>
        <v>#VALUE!</v>
      </c>
      <c r="AF35" s="11" t="e">
        <f ca="1">SUM(SUM($M$31:M35),-SUM($T$31:T35))/$V$31</f>
        <v>#VALUE!</v>
      </c>
      <c r="AG35">
        <f t="shared" si="2"/>
        <v>20</v>
      </c>
    </row>
    <row r="36" spans="2:33" x14ac:dyDescent="0.15">
      <c r="B36" s="1">
        <f t="shared" si="16"/>
        <v>5</v>
      </c>
      <c r="C36" s="1">
        <f t="shared" si="3"/>
        <v>5</v>
      </c>
      <c r="D36" s="25">
        <v>2.20866427617376E-3</v>
      </c>
      <c r="E36" s="2">
        <f t="shared" si="4"/>
        <v>99420.78408502067</v>
      </c>
      <c r="F36" s="3">
        <f t="shared" si="17"/>
        <v>0.04</v>
      </c>
      <c r="G36" s="2">
        <f t="shared" si="18"/>
        <v>477.4153</v>
      </c>
      <c r="H36" s="2">
        <f t="shared" si="19"/>
        <v>331.40261361673561</v>
      </c>
      <c r="I36" s="2">
        <f t="shared" si="20"/>
        <v>146.01268638326439</v>
      </c>
      <c r="J36" s="2">
        <f t="shared" si="5"/>
        <v>99274.7713986374</v>
      </c>
      <c r="K36" s="2" t="e">
        <f t="shared" si="24"/>
        <v>#VALUE!</v>
      </c>
      <c r="L36" s="9">
        <v>1.6821425527395739E-3</v>
      </c>
      <c r="M36" s="2" t="e">
        <f t="shared" si="6"/>
        <v>#VALUE!</v>
      </c>
      <c r="N36" s="3">
        <f t="shared" si="7"/>
        <v>0.04</v>
      </c>
      <c r="O36" s="2" t="e">
        <f t="shared" si="8"/>
        <v>#VALUE!</v>
      </c>
      <c r="P36" s="10">
        <f t="shared" si="0"/>
        <v>0.99274771398637396</v>
      </c>
      <c r="Q36" s="13"/>
      <c r="R36" s="2" t="e">
        <f t="shared" si="21"/>
        <v>#VALUE!</v>
      </c>
      <c r="S36" s="2" t="e">
        <f t="shared" si="22"/>
        <v>#VALUE!</v>
      </c>
      <c r="T36" s="2">
        <f t="shared" ca="1" si="9"/>
        <v>0</v>
      </c>
      <c r="U36" s="2" t="e">
        <f t="shared" si="23"/>
        <v>#VALUE!</v>
      </c>
      <c r="V36" s="2" t="e">
        <f t="shared" si="10"/>
        <v>#VALUE!</v>
      </c>
      <c r="W36" s="2">
        <f t="shared" si="11"/>
        <v>477.4153</v>
      </c>
      <c r="X36" s="2" t="e">
        <f t="shared" ca="1" si="12"/>
        <v>#VALUE!</v>
      </c>
      <c r="Y36" s="2" t="e">
        <f t="shared" ca="1" si="13"/>
        <v>#VALUE!</v>
      </c>
      <c r="Z36" s="10">
        <f t="shared" si="14"/>
        <v>0.98349871229830765</v>
      </c>
      <c r="AA36" s="10" t="e">
        <f t="shared" ca="1" si="1"/>
        <v>#VALUE!</v>
      </c>
      <c r="AB36" s="11" t="e">
        <f t="shared" si="15"/>
        <v>#VALUE!</v>
      </c>
      <c r="AC36" s="11" t="e">
        <f>SUM($S$31:S36)/$V$31</f>
        <v>#VALUE!</v>
      </c>
      <c r="AD36" s="11" t="e">
        <f>SUM($S$31:S36,$R$31:R36,$T$31:T36)/$V$31</f>
        <v>#VALUE!</v>
      </c>
      <c r="AE36" s="11" t="e">
        <f>SUM($M$31:M36)/$V$31</f>
        <v>#VALUE!</v>
      </c>
      <c r="AF36" s="11" t="e">
        <f ca="1">SUM(SUM($M$31:M36),-SUM($T$31:T36))/$V$31</f>
        <v>#VALUE!</v>
      </c>
      <c r="AG36">
        <f t="shared" si="2"/>
        <v>30</v>
      </c>
    </row>
    <row r="37" spans="2:33" x14ac:dyDescent="0.15">
      <c r="B37" s="1">
        <f t="shared" si="16"/>
        <v>6</v>
      </c>
      <c r="C37" s="1">
        <f t="shared" si="3"/>
        <v>6</v>
      </c>
      <c r="D37" s="25">
        <v>2.3368620338197902E-3</v>
      </c>
      <c r="E37" s="2">
        <f t="shared" si="4"/>
        <v>99274.7713986374</v>
      </c>
      <c r="F37" s="3">
        <f t="shared" si="17"/>
        <v>0.04</v>
      </c>
      <c r="G37" s="2">
        <f t="shared" si="18"/>
        <v>477.4153</v>
      </c>
      <c r="H37" s="2">
        <f t="shared" si="19"/>
        <v>330.91590466212466</v>
      </c>
      <c r="I37" s="2">
        <f t="shared" si="20"/>
        <v>146.49939533787534</v>
      </c>
      <c r="J37" s="2">
        <f t="shared" si="5"/>
        <v>99128.272003299528</v>
      </c>
      <c r="K37" s="2" t="e">
        <f t="shared" si="24"/>
        <v>#VALUE!</v>
      </c>
      <c r="L37" s="9">
        <v>1.6821425527395739E-3</v>
      </c>
      <c r="M37" s="2" t="e">
        <f t="shared" si="6"/>
        <v>#VALUE!</v>
      </c>
      <c r="N37" s="3">
        <f t="shared" si="7"/>
        <v>0.04</v>
      </c>
      <c r="O37" s="2" t="e">
        <f t="shared" si="8"/>
        <v>#VALUE!</v>
      </c>
      <c r="P37" s="10">
        <f t="shared" si="0"/>
        <v>0.99128272003299522</v>
      </c>
      <c r="Q37" s="13"/>
      <c r="R37" s="2" t="e">
        <f t="shared" si="21"/>
        <v>#VALUE!</v>
      </c>
      <c r="S37" s="2" t="e">
        <f t="shared" si="22"/>
        <v>#VALUE!</v>
      </c>
      <c r="T37" s="2">
        <f t="shared" ca="1" si="9"/>
        <v>0</v>
      </c>
      <c r="U37" s="2" t="e">
        <f t="shared" si="23"/>
        <v>#VALUE!</v>
      </c>
      <c r="V37" s="2" t="e">
        <f t="shared" si="10"/>
        <v>#VALUE!</v>
      </c>
      <c r="W37" s="2">
        <f t="shared" si="11"/>
        <v>477.4153</v>
      </c>
      <c r="X37" s="2" t="e">
        <f t="shared" ca="1" si="12"/>
        <v>#VALUE!</v>
      </c>
      <c r="Y37" s="2" t="e">
        <f t="shared" ca="1" si="13"/>
        <v>#VALUE!</v>
      </c>
      <c r="Z37" s="10">
        <f t="shared" si="14"/>
        <v>0.98023127471675708</v>
      </c>
      <c r="AA37" s="10" t="e">
        <f t="shared" ca="1" si="1"/>
        <v>#VALUE!</v>
      </c>
      <c r="AB37" s="11" t="e">
        <f t="shared" si="15"/>
        <v>#VALUE!</v>
      </c>
      <c r="AC37" s="11" t="e">
        <f>SUM($S$31:S37)/$V$31</f>
        <v>#VALUE!</v>
      </c>
      <c r="AD37" s="11" t="e">
        <f>SUM($S$31:S37,$R$31:R37,$T$31:T37)/$V$31</f>
        <v>#VALUE!</v>
      </c>
      <c r="AE37" s="11" t="e">
        <f>SUM($M$31:M37)/$V$31</f>
        <v>#VALUE!</v>
      </c>
      <c r="AF37" s="11" t="e">
        <f ca="1">SUM(SUM($M$31:M37),-SUM($T$31:T37))/$V$31</f>
        <v>#VALUE!</v>
      </c>
      <c r="AG37">
        <f t="shared" si="2"/>
        <v>42</v>
      </c>
    </row>
    <row r="38" spans="2:33" x14ac:dyDescent="0.15">
      <c r="B38" s="1">
        <f t="shared" si="16"/>
        <v>7</v>
      </c>
      <c r="C38" s="1">
        <f t="shared" si="3"/>
        <v>7</v>
      </c>
      <c r="D38" s="25">
        <v>2.4196318820710301E-3</v>
      </c>
      <c r="E38" s="2">
        <f t="shared" si="4"/>
        <v>99128.272003299528</v>
      </c>
      <c r="F38" s="3">
        <f t="shared" si="17"/>
        <v>0.04</v>
      </c>
      <c r="G38" s="2">
        <f t="shared" si="18"/>
        <v>477.4153</v>
      </c>
      <c r="H38" s="2">
        <f t="shared" si="19"/>
        <v>330.42757334433179</v>
      </c>
      <c r="I38" s="2">
        <f t="shared" si="20"/>
        <v>146.98772665566821</v>
      </c>
      <c r="J38" s="2">
        <f t="shared" si="5"/>
        <v>98981.284276643855</v>
      </c>
      <c r="K38" s="2" t="e">
        <f t="shared" si="24"/>
        <v>#VALUE!</v>
      </c>
      <c r="L38" s="9">
        <v>1.6821425527395739E-3</v>
      </c>
      <c r="M38" s="2" t="e">
        <f t="shared" si="6"/>
        <v>#VALUE!</v>
      </c>
      <c r="N38" s="3">
        <f t="shared" si="7"/>
        <v>0.04</v>
      </c>
      <c r="O38" s="2" t="e">
        <f t="shared" si="8"/>
        <v>#VALUE!</v>
      </c>
      <c r="P38" s="10">
        <f t="shared" si="0"/>
        <v>0.98981284276643855</v>
      </c>
      <c r="Q38" s="13"/>
      <c r="R38" s="2" t="e">
        <f t="shared" si="21"/>
        <v>#VALUE!</v>
      </c>
      <c r="S38" s="2" t="e">
        <f t="shared" si="22"/>
        <v>#VALUE!</v>
      </c>
      <c r="T38" s="2">
        <f t="shared" ca="1" si="9"/>
        <v>0</v>
      </c>
      <c r="U38" s="2" t="e">
        <f t="shared" si="23"/>
        <v>#VALUE!</v>
      </c>
      <c r="V38" s="2" t="e">
        <f t="shared" si="10"/>
        <v>#VALUE!</v>
      </c>
      <c r="W38" s="2">
        <f t="shared" si="11"/>
        <v>477.4153</v>
      </c>
      <c r="X38" s="2" t="e">
        <f t="shared" ca="1" si="12"/>
        <v>#VALUE!</v>
      </c>
      <c r="Y38" s="2" t="e">
        <f t="shared" ca="1" si="13"/>
        <v>#VALUE!</v>
      </c>
      <c r="Z38" s="10">
        <f t="shared" si="14"/>
        <v>0.97697469240956114</v>
      </c>
      <c r="AA38" s="10" t="e">
        <f t="shared" ca="1" si="1"/>
        <v>#VALUE!</v>
      </c>
      <c r="AB38" s="11" t="e">
        <f t="shared" si="15"/>
        <v>#VALUE!</v>
      </c>
      <c r="AC38" s="11" t="e">
        <f>SUM($S$31:S38)/$V$31</f>
        <v>#VALUE!</v>
      </c>
      <c r="AD38" s="11" t="e">
        <f>SUM($S$31:S38,$R$31:R38,$T$31:T38)/$V$31</f>
        <v>#VALUE!</v>
      </c>
      <c r="AE38" s="11" t="e">
        <f>SUM($M$31:M38)/$V$31</f>
        <v>#VALUE!</v>
      </c>
      <c r="AF38" s="11" t="e">
        <f ca="1">SUM(SUM($M$31:M38),-SUM($T$31:T38))/$V$31</f>
        <v>#VALUE!</v>
      </c>
      <c r="AG38">
        <f t="shared" si="2"/>
        <v>56</v>
      </c>
    </row>
    <row r="39" spans="2:33" x14ac:dyDescent="0.15">
      <c r="B39" s="1">
        <f t="shared" si="16"/>
        <v>8</v>
      </c>
      <c r="C39" s="1">
        <f t="shared" si="3"/>
        <v>8</v>
      </c>
      <c r="D39" s="25">
        <v>2.5660471874729101E-3</v>
      </c>
      <c r="E39" s="2">
        <f t="shared" si="4"/>
        <v>98981.284276643855</v>
      </c>
      <c r="F39" s="3">
        <f t="shared" si="17"/>
        <v>0.04</v>
      </c>
      <c r="G39" s="2">
        <f t="shared" si="18"/>
        <v>477.4153</v>
      </c>
      <c r="H39" s="2">
        <f t="shared" si="19"/>
        <v>329.93761425547956</v>
      </c>
      <c r="I39" s="2">
        <f t="shared" si="20"/>
        <v>147.47768574452044</v>
      </c>
      <c r="J39" s="2">
        <f t="shared" si="5"/>
        <v>98833.80659089933</v>
      </c>
      <c r="K39" s="2" t="e">
        <f t="shared" si="24"/>
        <v>#VALUE!</v>
      </c>
      <c r="L39" s="9">
        <v>1.6821425527395739E-3</v>
      </c>
      <c r="M39" s="2" t="e">
        <f t="shared" si="6"/>
        <v>#VALUE!</v>
      </c>
      <c r="N39" s="3">
        <f t="shared" si="7"/>
        <v>0.04</v>
      </c>
      <c r="O39" s="2" t="e">
        <f t="shared" si="8"/>
        <v>#VALUE!</v>
      </c>
      <c r="P39" s="10">
        <f t="shared" si="0"/>
        <v>0.98833806590899331</v>
      </c>
      <c r="Q39" s="13"/>
      <c r="R39" s="2" t="e">
        <f t="shared" si="21"/>
        <v>#VALUE!</v>
      </c>
      <c r="S39" s="2" t="e">
        <f t="shared" si="22"/>
        <v>#VALUE!</v>
      </c>
      <c r="T39" s="2">
        <f t="shared" ca="1" si="9"/>
        <v>0</v>
      </c>
      <c r="U39" s="2" t="e">
        <f t="shared" si="23"/>
        <v>#VALUE!</v>
      </c>
      <c r="V39" s="2" t="e">
        <f t="shared" si="10"/>
        <v>#VALUE!</v>
      </c>
      <c r="W39" s="2">
        <f t="shared" si="11"/>
        <v>477.4153</v>
      </c>
      <c r="X39" s="2" t="e">
        <f t="shared" ca="1" si="12"/>
        <v>#VALUE!</v>
      </c>
      <c r="Y39" s="2" t="e">
        <f t="shared" ca="1" si="13"/>
        <v>#VALUE!</v>
      </c>
      <c r="Z39" s="10">
        <f t="shared" si="14"/>
        <v>0.97372892931268551</v>
      </c>
      <c r="AA39" s="10" t="e">
        <f t="shared" ca="1" si="1"/>
        <v>#VALUE!</v>
      </c>
      <c r="AB39" s="11" t="e">
        <f t="shared" si="15"/>
        <v>#VALUE!</v>
      </c>
      <c r="AC39" s="11" t="e">
        <f>SUM($S$31:S39)/$V$31</f>
        <v>#VALUE!</v>
      </c>
      <c r="AD39" s="11" t="e">
        <f>SUM($S$31:S39,$R$31:R39,$T$31:T39)/$V$31</f>
        <v>#VALUE!</v>
      </c>
      <c r="AE39" s="11" t="e">
        <f>SUM($M$31:M39)/$V$31</f>
        <v>#VALUE!</v>
      </c>
      <c r="AF39" s="11" t="e">
        <f ca="1">SUM(SUM($M$31:M39),-SUM($T$31:T39))/$V$31</f>
        <v>#VALUE!</v>
      </c>
      <c r="AG39">
        <f t="shared" si="2"/>
        <v>72</v>
      </c>
    </row>
    <row r="40" spans="2:33" x14ac:dyDescent="0.15">
      <c r="B40" s="1">
        <f t="shared" si="16"/>
        <v>9</v>
      </c>
      <c r="C40" s="1">
        <f t="shared" si="3"/>
        <v>9</v>
      </c>
      <c r="D40" s="25">
        <v>2.72146337613082E-3</v>
      </c>
      <c r="E40" s="2">
        <f t="shared" si="4"/>
        <v>98833.80659089933</v>
      </c>
      <c r="F40" s="3">
        <f t="shared" si="17"/>
        <v>0.04</v>
      </c>
      <c r="G40" s="2">
        <f t="shared" si="18"/>
        <v>477.4153</v>
      </c>
      <c r="H40" s="2">
        <f t="shared" si="19"/>
        <v>329.44602196966446</v>
      </c>
      <c r="I40" s="2">
        <f t="shared" si="20"/>
        <v>147.96927803033554</v>
      </c>
      <c r="J40" s="2">
        <f t="shared" si="5"/>
        <v>98685.837312869</v>
      </c>
      <c r="K40" s="2" t="e">
        <f t="shared" si="24"/>
        <v>#VALUE!</v>
      </c>
      <c r="L40" s="9">
        <v>1.6821425527395739E-3</v>
      </c>
      <c r="M40" s="2" t="e">
        <f t="shared" si="6"/>
        <v>#VALUE!</v>
      </c>
      <c r="N40" s="3">
        <f t="shared" si="7"/>
        <v>0.04</v>
      </c>
      <c r="O40" s="2" t="e">
        <f t="shared" si="8"/>
        <v>#VALUE!</v>
      </c>
      <c r="P40" s="10">
        <f t="shared" si="0"/>
        <v>0.98685837312868996</v>
      </c>
      <c r="Q40" s="13"/>
      <c r="R40" s="2" t="e">
        <f t="shared" si="21"/>
        <v>#VALUE!</v>
      </c>
      <c r="S40" s="2" t="e">
        <f t="shared" si="22"/>
        <v>#VALUE!</v>
      </c>
      <c r="T40" s="2">
        <f t="shared" ca="1" si="9"/>
        <v>0</v>
      </c>
      <c r="U40" s="2" t="e">
        <f t="shared" si="23"/>
        <v>#VALUE!</v>
      </c>
      <c r="V40" s="2" t="e">
        <f t="shared" si="10"/>
        <v>#VALUE!</v>
      </c>
      <c r="W40" s="2">
        <f t="shared" si="11"/>
        <v>477.4153</v>
      </c>
      <c r="X40" s="2" t="e">
        <f t="shared" ca="1" si="12"/>
        <v>#VALUE!</v>
      </c>
      <c r="Y40" s="2" t="e">
        <f t="shared" ca="1" si="13"/>
        <v>#VALUE!</v>
      </c>
      <c r="Z40" s="10">
        <f t="shared" si="14"/>
        <v>0.97049394948190959</v>
      </c>
      <c r="AA40" s="10" t="e">
        <f t="shared" ca="1" si="1"/>
        <v>#VALUE!</v>
      </c>
      <c r="AB40" s="11" t="e">
        <f t="shared" si="15"/>
        <v>#VALUE!</v>
      </c>
      <c r="AC40" s="11" t="e">
        <f>SUM($S$31:S40)/$V$31</f>
        <v>#VALUE!</v>
      </c>
      <c r="AD40" s="11" t="e">
        <f>SUM($S$31:S40,$R$31:R40,$T$31:T40)/$V$31</f>
        <v>#VALUE!</v>
      </c>
      <c r="AE40" s="11" t="e">
        <f>SUM($M$31:M40)/$V$31</f>
        <v>#VALUE!</v>
      </c>
      <c r="AF40" s="11" t="e">
        <f ca="1">SUM(SUM($M$31:M40),-SUM($T$31:T40))/$V$31</f>
        <v>#VALUE!</v>
      </c>
      <c r="AG40">
        <f t="shared" si="2"/>
        <v>90</v>
      </c>
    </row>
    <row r="41" spans="2:33" x14ac:dyDescent="0.15">
      <c r="B41" s="1">
        <f t="shared" si="16"/>
        <v>10</v>
      </c>
      <c r="C41" s="1">
        <f t="shared" si="3"/>
        <v>10</v>
      </c>
      <c r="D41" s="25">
        <v>2.8614438848184997E-3</v>
      </c>
      <c r="E41" s="2">
        <f t="shared" si="4"/>
        <v>98685.837312869</v>
      </c>
      <c r="F41" s="3">
        <f t="shared" si="17"/>
        <v>0.04</v>
      </c>
      <c r="G41" s="2">
        <f t="shared" si="18"/>
        <v>477.4153</v>
      </c>
      <c r="H41" s="2">
        <f t="shared" si="19"/>
        <v>328.95279104289671</v>
      </c>
      <c r="I41" s="2">
        <f t="shared" si="20"/>
        <v>148.4625089571033</v>
      </c>
      <c r="J41" s="2">
        <f t="shared" si="5"/>
        <v>98537.374803911895</v>
      </c>
      <c r="K41" s="2" t="e">
        <f t="shared" si="24"/>
        <v>#VALUE!</v>
      </c>
      <c r="L41" s="9">
        <v>1.6821425527395739E-3</v>
      </c>
      <c r="M41" s="2" t="e">
        <f t="shared" si="6"/>
        <v>#VALUE!</v>
      </c>
      <c r="N41" s="3">
        <f t="shared" si="7"/>
        <v>0.04</v>
      </c>
      <c r="O41" s="2" t="e">
        <f t="shared" si="8"/>
        <v>#VALUE!</v>
      </c>
      <c r="P41" s="10">
        <f t="shared" si="0"/>
        <v>0.98537374803911892</v>
      </c>
      <c r="Q41" s="13"/>
      <c r="R41" s="2" t="e">
        <f t="shared" si="21"/>
        <v>#VALUE!</v>
      </c>
      <c r="S41" s="2" t="e">
        <f t="shared" si="22"/>
        <v>#VALUE!</v>
      </c>
      <c r="T41" s="2">
        <f t="shared" ca="1" si="9"/>
        <v>0</v>
      </c>
      <c r="U41" s="2" t="e">
        <f t="shared" si="23"/>
        <v>#VALUE!</v>
      </c>
      <c r="V41" s="2" t="e">
        <f t="shared" si="10"/>
        <v>#VALUE!</v>
      </c>
      <c r="W41" s="2">
        <f t="shared" si="11"/>
        <v>477.4153</v>
      </c>
      <c r="X41" s="2" t="e">
        <f t="shared" ca="1" si="12"/>
        <v>#VALUE!</v>
      </c>
      <c r="Y41" s="2" t="e">
        <f t="shared" ca="1" si="13"/>
        <v>#VALUE!</v>
      </c>
      <c r="Z41" s="10">
        <f t="shared" si="14"/>
        <v>0.96726971709242904</v>
      </c>
      <c r="AA41" s="10" t="e">
        <f t="shared" ca="1" si="1"/>
        <v>#VALUE!</v>
      </c>
      <c r="AB41" s="11" t="e">
        <f t="shared" si="15"/>
        <v>#VALUE!</v>
      </c>
      <c r="AC41" s="11" t="e">
        <f>SUM($S$31:S41)/$V$31</f>
        <v>#VALUE!</v>
      </c>
      <c r="AD41" s="11" t="e">
        <f>SUM($S$31:S41,$R$31:R41,$T$31:T41)/$V$31</f>
        <v>#VALUE!</v>
      </c>
      <c r="AE41" s="11" t="e">
        <f>SUM($M$31:M41)/$V$31</f>
        <v>#VALUE!</v>
      </c>
      <c r="AF41" s="11" t="e">
        <f ca="1">SUM(SUM($M$31:M41),-SUM($T$31:T41))/$V$31</f>
        <v>#VALUE!</v>
      </c>
      <c r="AG41">
        <f t="shared" si="2"/>
        <v>110</v>
      </c>
    </row>
    <row r="42" spans="2:33" x14ac:dyDescent="0.15">
      <c r="B42" s="1">
        <f t="shared" si="16"/>
        <v>11</v>
      </c>
      <c r="C42" s="1">
        <f t="shared" si="3"/>
        <v>11</v>
      </c>
      <c r="D42" s="25">
        <v>2.9880042303340099E-3</v>
      </c>
      <c r="E42" s="2">
        <f t="shared" si="4"/>
        <v>98537.374803911895</v>
      </c>
      <c r="F42" s="3">
        <f t="shared" si="17"/>
        <v>0.04</v>
      </c>
      <c r="G42" s="2">
        <f t="shared" si="18"/>
        <v>477.4153</v>
      </c>
      <c r="H42" s="2">
        <f t="shared" si="19"/>
        <v>328.45791601303966</v>
      </c>
      <c r="I42" s="2">
        <f t="shared" si="20"/>
        <v>148.95738398696034</v>
      </c>
      <c r="J42" s="2">
        <f t="shared" si="5"/>
        <v>98388.417419924939</v>
      </c>
      <c r="K42" s="2" t="e">
        <f t="shared" si="24"/>
        <v>#VALUE!</v>
      </c>
      <c r="L42" s="9">
        <v>1.6821425527395739E-3</v>
      </c>
      <c r="M42" s="2" t="e">
        <f t="shared" si="6"/>
        <v>#VALUE!</v>
      </c>
      <c r="N42" s="3">
        <f t="shared" si="7"/>
        <v>0.04</v>
      </c>
      <c r="O42" s="2" t="e">
        <f t="shared" si="8"/>
        <v>#VALUE!</v>
      </c>
      <c r="P42" s="10">
        <f t="shared" si="0"/>
        <v>0.98388417419924934</v>
      </c>
      <c r="Q42" s="13"/>
      <c r="R42" s="2" t="e">
        <f t="shared" si="21"/>
        <v>#VALUE!</v>
      </c>
      <c r="S42" s="2" t="e">
        <f t="shared" si="22"/>
        <v>#VALUE!</v>
      </c>
      <c r="T42" s="2">
        <f t="shared" ca="1" si="9"/>
        <v>0</v>
      </c>
      <c r="U42" s="2" t="e">
        <f t="shared" si="23"/>
        <v>#VALUE!</v>
      </c>
      <c r="V42" s="2" t="e">
        <f t="shared" si="10"/>
        <v>#VALUE!</v>
      </c>
      <c r="W42" s="2">
        <f t="shared" si="11"/>
        <v>477.4153</v>
      </c>
      <c r="X42" s="2" t="e">
        <f t="shared" ca="1" si="12"/>
        <v>#VALUE!</v>
      </c>
      <c r="Y42" s="2" t="e">
        <f t="shared" ca="1" si="13"/>
        <v>#VALUE!</v>
      </c>
      <c r="Z42" s="10">
        <f t="shared" si="14"/>
        <v>0.96405619643845919</v>
      </c>
      <c r="AA42" s="10" t="e">
        <f t="shared" ca="1" si="1"/>
        <v>#VALUE!</v>
      </c>
      <c r="AB42" s="11" t="e">
        <f t="shared" si="15"/>
        <v>#VALUE!</v>
      </c>
      <c r="AC42" s="11" t="e">
        <f>SUM($S$31:S42)/$V$31</f>
        <v>#VALUE!</v>
      </c>
      <c r="AD42" s="11" t="e">
        <f>SUM($S$31:S42,$R$31:R42,$T$31:T42)/$V$31</f>
        <v>#VALUE!</v>
      </c>
      <c r="AE42" s="11" t="e">
        <f>SUM($M$31:M42)/$V$31</f>
        <v>#VALUE!</v>
      </c>
      <c r="AF42" s="11" t="e">
        <f ca="1">SUM(SUM($M$31:M42),-SUM($T$31:T42))/$V$31</f>
        <v>#VALUE!</v>
      </c>
      <c r="AG42">
        <f t="shared" si="2"/>
        <v>132</v>
      </c>
    </row>
    <row r="43" spans="2:33" x14ac:dyDescent="0.15">
      <c r="B43" s="1">
        <f t="shared" si="16"/>
        <v>12</v>
      </c>
      <c r="C43" s="1">
        <f t="shared" si="3"/>
        <v>12</v>
      </c>
      <c r="D43" s="25">
        <v>3.1430970942528504E-3</v>
      </c>
      <c r="E43" s="2">
        <f t="shared" si="4"/>
        <v>98388.417419924939</v>
      </c>
      <c r="F43" s="3">
        <f t="shared" si="17"/>
        <v>0.04</v>
      </c>
      <c r="G43" s="2">
        <f t="shared" si="18"/>
        <v>477.4153</v>
      </c>
      <c r="H43" s="2">
        <f t="shared" si="19"/>
        <v>327.9613913997498</v>
      </c>
      <c r="I43" s="2">
        <f t="shared" si="20"/>
        <v>149.4539086002502</v>
      </c>
      <c r="J43" s="2">
        <f t="shared" si="5"/>
        <v>98238.963511324691</v>
      </c>
      <c r="K43" s="2" t="e">
        <f t="shared" si="24"/>
        <v>#VALUE!</v>
      </c>
      <c r="L43" s="9">
        <v>1.6821425527395739E-3</v>
      </c>
      <c r="M43" s="2" t="e">
        <f t="shared" si="6"/>
        <v>#VALUE!</v>
      </c>
      <c r="N43" s="3">
        <f t="shared" si="7"/>
        <v>0.04</v>
      </c>
      <c r="O43" s="2" t="e">
        <f t="shared" si="8"/>
        <v>#VALUE!</v>
      </c>
      <c r="P43" s="10">
        <f t="shared" si="0"/>
        <v>0.98238963511324695</v>
      </c>
      <c r="Q43" s="13"/>
      <c r="R43" s="2" t="e">
        <f t="shared" si="21"/>
        <v>#VALUE!</v>
      </c>
      <c r="S43" s="2" t="e">
        <f t="shared" si="22"/>
        <v>#VALUE!</v>
      </c>
      <c r="T43" s="2">
        <f t="shared" ca="1" si="9"/>
        <v>0</v>
      </c>
      <c r="U43" s="2" t="e">
        <f t="shared" si="23"/>
        <v>#VALUE!</v>
      </c>
      <c r="V43" s="2" t="e">
        <f t="shared" si="10"/>
        <v>#VALUE!</v>
      </c>
      <c r="W43" s="2">
        <f t="shared" si="11"/>
        <v>477.4153</v>
      </c>
      <c r="X43" s="2" t="e">
        <f t="shared" ca="1" si="12"/>
        <v>#VALUE!</v>
      </c>
      <c r="Y43" s="2" t="e">
        <f t="shared" ca="1" si="13"/>
        <v>#VALUE!</v>
      </c>
      <c r="Z43" s="10">
        <f t="shared" si="14"/>
        <v>0.9608533519328385</v>
      </c>
      <c r="AA43" s="10" t="e">
        <f t="shared" ca="1" si="1"/>
        <v>#VALUE!</v>
      </c>
      <c r="AB43" s="11" t="e">
        <f t="shared" si="15"/>
        <v>#VALUE!</v>
      </c>
      <c r="AC43" s="11" t="e">
        <f>SUM($S$31:S43)/$V$31</f>
        <v>#VALUE!</v>
      </c>
      <c r="AD43" s="11" t="e">
        <f>SUM($S$31:S43,$R$31:R43,$T$31:T43)/$V$31</f>
        <v>#VALUE!</v>
      </c>
      <c r="AE43" s="11" t="e">
        <f>SUM($M$31:M43)/$V$31</f>
        <v>#VALUE!</v>
      </c>
      <c r="AF43" s="11" t="e">
        <f ca="1">SUM(SUM($M$31:M43),-SUM($T$31:T43))/$V$31</f>
        <v>#VALUE!</v>
      </c>
      <c r="AG43">
        <f t="shared" si="2"/>
        <v>156</v>
      </c>
    </row>
    <row r="44" spans="2:33" x14ac:dyDescent="0.15">
      <c r="B44" s="1">
        <f t="shared" si="16"/>
        <v>13</v>
      </c>
      <c r="C44" s="1">
        <f t="shared" si="3"/>
        <v>13</v>
      </c>
      <c r="D44" s="25">
        <v>3.2451167831904397E-3</v>
      </c>
      <c r="E44" s="2">
        <f t="shared" si="4"/>
        <v>98238.963511324691</v>
      </c>
      <c r="F44" s="3">
        <f t="shared" si="17"/>
        <v>0.04</v>
      </c>
      <c r="G44" s="2">
        <f t="shared" si="18"/>
        <v>477.4153</v>
      </c>
      <c r="H44" s="2">
        <f t="shared" si="19"/>
        <v>327.46321170441564</v>
      </c>
      <c r="I44" s="2">
        <f t="shared" si="20"/>
        <v>149.95208829558436</v>
      </c>
      <c r="J44" s="2">
        <f t="shared" si="5"/>
        <v>98089.011423029107</v>
      </c>
      <c r="K44" s="2" t="e">
        <f t="shared" si="24"/>
        <v>#VALUE!</v>
      </c>
      <c r="L44" s="9">
        <v>1.6821425527395739E-3</v>
      </c>
      <c r="M44" s="2" t="e">
        <f t="shared" si="6"/>
        <v>#VALUE!</v>
      </c>
      <c r="N44" s="3">
        <f t="shared" si="7"/>
        <v>0.04</v>
      </c>
      <c r="O44" s="2" t="e">
        <f t="shared" si="8"/>
        <v>#VALUE!</v>
      </c>
      <c r="P44" s="10">
        <f t="shared" si="0"/>
        <v>0.98089011423029104</v>
      </c>
      <c r="Q44" s="13"/>
      <c r="R44" s="2" t="e">
        <f t="shared" si="21"/>
        <v>#VALUE!</v>
      </c>
      <c r="S44" s="2" t="e">
        <f t="shared" si="22"/>
        <v>#VALUE!</v>
      </c>
      <c r="T44" s="2">
        <f t="shared" ca="1" si="9"/>
        <v>20.185710632874887</v>
      </c>
      <c r="U44" s="2" t="e">
        <f t="shared" si="23"/>
        <v>#VALUE!</v>
      </c>
      <c r="V44" s="2" t="e">
        <f t="shared" si="10"/>
        <v>#VALUE!</v>
      </c>
      <c r="W44" s="2">
        <f t="shared" si="11"/>
        <v>477.4153</v>
      </c>
      <c r="X44" s="2" t="e">
        <f t="shared" ca="1" si="12"/>
        <v>#VALUE!</v>
      </c>
      <c r="Y44" s="2" t="e">
        <f t="shared" ca="1" si="13"/>
        <v>#VALUE!</v>
      </c>
      <c r="Z44" s="10">
        <f t="shared" si="14"/>
        <v>0.95766114810663605</v>
      </c>
      <c r="AA44" s="10" t="e">
        <f t="shared" ca="1" si="1"/>
        <v>#VALUE!</v>
      </c>
      <c r="AB44" s="11" t="e">
        <f t="shared" si="15"/>
        <v>#VALUE!</v>
      </c>
      <c r="AC44" s="11" t="e">
        <f>SUM($S$31:S44)/$V$31</f>
        <v>#VALUE!</v>
      </c>
      <c r="AD44" s="11" t="e">
        <f>SUM($S$31:S44,$R$31:R44,$T$31:T44)/$V$31</f>
        <v>#VALUE!</v>
      </c>
      <c r="AE44" s="11" t="e">
        <f>SUM($M$31:M44)/$V$31</f>
        <v>#VALUE!</v>
      </c>
      <c r="AF44" s="11" t="e">
        <f ca="1">SUM(SUM($M$31:M44),-SUM($T$31:T44))/$V$31</f>
        <v>#VALUE!</v>
      </c>
      <c r="AG44">
        <f t="shared" si="2"/>
        <v>182</v>
      </c>
    </row>
    <row r="45" spans="2:33" x14ac:dyDescent="0.15">
      <c r="B45" s="1">
        <f t="shared" si="16"/>
        <v>14</v>
      </c>
      <c r="C45" s="1">
        <f t="shared" si="3"/>
        <v>14</v>
      </c>
      <c r="D45" s="25">
        <v>3.4277298661453699E-3</v>
      </c>
      <c r="E45" s="2">
        <f t="shared" si="4"/>
        <v>98089.011423029107</v>
      </c>
      <c r="F45" s="3">
        <f t="shared" si="17"/>
        <v>0.04</v>
      </c>
      <c r="G45" s="2">
        <f t="shared" si="18"/>
        <v>477.4153</v>
      </c>
      <c r="H45" s="2">
        <f t="shared" si="19"/>
        <v>326.96337141009707</v>
      </c>
      <c r="I45" s="2">
        <f t="shared" si="20"/>
        <v>150.45192858990293</v>
      </c>
      <c r="J45" s="2">
        <f t="shared" si="5"/>
        <v>97938.559494439207</v>
      </c>
      <c r="K45" s="2" t="e">
        <f t="shared" si="24"/>
        <v>#VALUE!</v>
      </c>
      <c r="L45" s="9">
        <v>1.6821425527395739E-3</v>
      </c>
      <c r="M45" s="2" t="e">
        <f t="shared" si="6"/>
        <v>#VALUE!</v>
      </c>
      <c r="N45" s="3">
        <f t="shared" si="7"/>
        <v>0.04</v>
      </c>
      <c r="O45" s="2" t="e">
        <f t="shared" si="8"/>
        <v>#VALUE!</v>
      </c>
      <c r="P45" s="10">
        <f t="shared" si="0"/>
        <v>0.97938559494439204</v>
      </c>
      <c r="Q45" s="13"/>
      <c r="R45" s="2" t="e">
        <f t="shared" si="21"/>
        <v>#VALUE!</v>
      </c>
      <c r="S45" s="2" t="e">
        <f t="shared" si="22"/>
        <v>#VALUE!</v>
      </c>
      <c r="T45" s="2" t="e">
        <f t="shared" ca="1" si="9"/>
        <v>#VALUE!</v>
      </c>
      <c r="U45" s="2" t="e">
        <f t="shared" si="23"/>
        <v>#VALUE!</v>
      </c>
      <c r="V45" s="2" t="e">
        <f t="shared" si="10"/>
        <v>#VALUE!</v>
      </c>
      <c r="W45" s="2">
        <f t="shared" si="11"/>
        <v>477.4153</v>
      </c>
      <c r="X45" s="2" t="e">
        <f t="shared" ca="1" si="12"/>
        <v>#VALUE!</v>
      </c>
      <c r="Y45" s="2" t="e">
        <f t="shared" ca="1" si="13"/>
        <v>#VALUE!</v>
      </c>
      <c r="Z45" s="10">
        <f t="shared" si="14"/>
        <v>0.95447954960875658</v>
      </c>
      <c r="AA45" s="10" t="e">
        <f t="shared" ca="1" si="1"/>
        <v>#VALUE!</v>
      </c>
      <c r="AB45" s="11" t="e">
        <f t="shared" si="15"/>
        <v>#VALUE!</v>
      </c>
      <c r="AC45" s="11" t="e">
        <f>SUM($S$31:S45)/$V$31</f>
        <v>#VALUE!</v>
      </c>
      <c r="AD45" s="11" t="e">
        <f>SUM($S$31:S45,$R$31:R45,$T$31:T45)/$V$31</f>
        <v>#VALUE!</v>
      </c>
      <c r="AE45" s="11" t="e">
        <f>SUM($M$31:M45)/$V$31</f>
        <v>#VALUE!</v>
      </c>
      <c r="AF45" s="11" t="e">
        <f ca="1">SUM(SUM($M$31:M45),-SUM($T$31:T45))/$V$31</f>
        <v>#VALUE!</v>
      </c>
      <c r="AG45">
        <f t="shared" si="2"/>
        <v>210</v>
      </c>
    </row>
    <row r="46" spans="2:33" x14ac:dyDescent="0.15">
      <c r="B46" s="1">
        <f t="shared" si="16"/>
        <v>15</v>
      </c>
      <c r="C46" s="1">
        <f t="shared" si="3"/>
        <v>15</v>
      </c>
      <c r="D46" s="25">
        <v>3.6508780021774299E-3</v>
      </c>
      <c r="E46" s="2">
        <f t="shared" si="4"/>
        <v>97938.559494439207</v>
      </c>
      <c r="F46" s="3">
        <f t="shared" si="17"/>
        <v>0.04</v>
      </c>
      <c r="G46" s="2">
        <f t="shared" si="18"/>
        <v>477.4153</v>
      </c>
      <c r="H46" s="2">
        <f t="shared" si="19"/>
        <v>326.46186498146403</v>
      </c>
      <c r="I46" s="2">
        <f t="shared" si="20"/>
        <v>150.95343501853597</v>
      </c>
      <c r="J46" s="2">
        <f t="shared" si="5"/>
        <v>97787.606059420665</v>
      </c>
      <c r="K46" s="2" t="e">
        <f t="shared" si="24"/>
        <v>#VALUE!</v>
      </c>
      <c r="L46" s="9">
        <v>1.6821425527395739E-3</v>
      </c>
      <c r="M46" s="2" t="e">
        <f t="shared" si="6"/>
        <v>#VALUE!</v>
      </c>
      <c r="N46" s="3">
        <f t="shared" si="7"/>
        <v>0.04</v>
      </c>
      <c r="O46" s="2" t="e">
        <f t="shared" si="8"/>
        <v>#VALUE!</v>
      </c>
      <c r="P46" s="10">
        <f t="shared" si="0"/>
        <v>0.97787606059420662</v>
      </c>
      <c r="Q46" s="13"/>
      <c r="R46" s="2" t="e">
        <f t="shared" si="21"/>
        <v>#VALUE!</v>
      </c>
      <c r="S46" s="2" t="e">
        <f t="shared" si="22"/>
        <v>#VALUE!</v>
      </c>
      <c r="T46" s="2" t="e">
        <f t="shared" ca="1" si="9"/>
        <v>#VALUE!</v>
      </c>
      <c r="U46" s="2" t="e">
        <f t="shared" si="23"/>
        <v>#VALUE!</v>
      </c>
      <c r="V46" s="2" t="e">
        <f t="shared" si="10"/>
        <v>#VALUE!</v>
      </c>
      <c r="W46" s="2">
        <f t="shared" si="11"/>
        <v>477.4153</v>
      </c>
      <c r="X46" s="2" t="e">
        <f t="shared" ca="1" si="12"/>
        <v>#VALUE!</v>
      </c>
      <c r="Y46" s="2" t="e">
        <f t="shared" ca="1" si="13"/>
        <v>#VALUE!</v>
      </c>
      <c r="Z46" s="10">
        <f t="shared" si="14"/>
        <v>0.95130852120555232</v>
      </c>
      <c r="AA46" s="10" t="e">
        <f t="shared" ca="1" si="1"/>
        <v>#VALUE!</v>
      </c>
      <c r="AB46" s="11" t="e">
        <f t="shared" si="15"/>
        <v>#VALUE!</v>
      </c>
      <c r="AC46" s="11" t="e">
        <f>SUM($S$31:S46)/$V$31</f>
        <v>#VALUE!</v>
      </c>
      <c r="AD46" s="11" t="e">
        <f>SUM($S$31:S46,$R$31:R46,$T$31:T46)/$V$31</f>
        <v>#VALUE!</v>
      </c>
      <c r="AE46" s="11" t="e">
        <f>SUM($M$31:M46)/$V$31</f>
        <v>#VALUE!</v>
      </c>
      <c r="AF46" s="11" t="e">
        <f ca="1">SUM(SUM($M$31:M46),-SUM($T$31:T46))/$V$31</f>
        <v>#VALUE!</v>
      </c>
      <c r="AG46">
        <f t="shared" si="2"/>
        <v>240</v>
      </c>
    </row>
    <row r="47" spans="2:33" x14ac:dyDescent="0.15">
      <c r="B47" s="1">
        <f t="shared" si="16"/>
        <v>16</v>
      </c>
      <c r="C47" s="1">
        <f t="shared" si="3"/>
        <v>16</v>
      </c>
      <c r="D47" s="25">
        <v>3.8013143331414802E-3</v>
      </c>
      <c r="E47" s="2">
        <f t="shared" si="4"/>
        <v>97787.606059420665</v>
      </c>
      <c r="F47" s="3">
        <f t="shared" si="17"/>
        <v>0.04</v>
      </c>
      <c r="G47" s="2">
        <f t="shared" si="18"/>
        <v>477.4153</v>
      </c>
      <c r="H47" s="2">
        <f t="shared" si="19"/>
        <v>325.95868686473557</v>
      </c>
      <c r="I47" s="2">
        <f t="shared" si="20"/>
        <v>151.45661313526443</v>
      </c>
      <c r="J47" s="2">
        <f t="shared" si="5"/>
        <v>97636.149446285403</v>
      </c>
      <c r="K47" s="2" t="e">
        <f t="shared" si="24"/>
        <v>#VALUE!</v>
      </c>
      <c r="L47" s="9">
        <v>1.6821425527395739E-3</v>
      </c>
      <c r="M47" s="2" t="e">
        <f t="shared" si="6"/>
        <v>#VALUE!</v>
      </c>
      <c r="N47" s="3">
        <f t="shared" si="7"/>
        <v>0.04</v>
      </c>
      <c r="O47" s="2" t="e">
        <f t="shared" si="8"/>
        <v>#VALUE!</v>
      </c>
      <c r="P47" s="10">
        <f t="shared" si="0"/>
        <v>0.97636149446285403</v>
      </c>
      <c r="Q47" s="13"/>
      <c r="R47" s="2" t="e">
        <f t="shared" si="21"/>
        <v>#VALUE!</v>
      </c>
      <c r="S47" s="2" t="e">
        <f t="shared" si="22"/>
        <v>#VALUE!</v>
      </c>
      <c r="T47" s="2" t="e">
        <f t="shared" ca="1" si="9"/>
        <v>#VALUE!</v>
      </c>
      <c r="U47" s="2" t="e">
        <f t="shared" si="23"/>
        <v>#VALUE!</v>
      </c>
      <c r="V47" s="2" t="e">
        <f t="shared" si="10"/>
        <v>#VALUE!</v>
      </c>
      <c r="W47" s="2">
        <f t="shared" si="11"/>
        <v>477.4153</v>
      </c>
      <c r="X47" s="2" t="e">
        <f t="shared" ca="1" si="12"/>
        <v>#VALUE!</v>
      </c>
      <c r="Y47" s="2" t="e">
        <f t="shared" ca="1" si="13"/>
        <v>#VALUE!</v>
      </c>
      <c r="Z47" s="10">
        <f t="shared" si="14"/>
        <v>0.94814802778042884</v>
      </c>
      <c r="AA47" s="10" t="e">
        <f t="shared" ca="1" si="1"/>
        <v>#VALUE!</v>
      </c>
      <c r="AB47" s="11" t="e">
        <f t="shared" si="15"/>
        <v>#VALUE!</v>
      </c>
      <c r="AC47" s="11" t="e">
        <f>SUM($S$31:S47)/$V$31</f>
        <v>#VALUE!</v>
      </c>
      <c r="AD47" s="11" t="e">
        <f>SUM($S$31:S47,$R$31:R47,$T$31:T47)/$V$31</f>
        <v>#VALUE!</v>
      </c>
      <c r="AE47" s="11" t="e">
        <f>SUM($M$31:M47)/$V$31</f>
        <v>#VALUE!</v>
      </c>
      <c r="AF47" s="11" t="e">
        <f ca="1">SUM(SUM($M$31:M47),-SUM($T$31:T47))/$V$31</f>
        <v>#VALUE!</v>
      </c>
      <c r="AG47">
        <f t="shared" si="2"/>
        <v>272</v>
      </c>
    </row>
    <row r="48" spans="2:33" x14ac:dyDescent="0.15">
      <c r="B48" s="1">
        <f t="shared" si="16"/>
        <v>17</v>
      </c>
      <c r="C48" s="1">
        <f t="shared" si="3"/>
        <v>17</v>
      </c>
      <c r="D48" s="25">
        <v>4.0185594055854902E-3</v>
      </c>
      <c r="E48" s="2">
        <f t="shared" si="4"/>
        <v>97636.149446285403</v>
      </c>
      <c r="F48" s="3">
        <f t="shared" si="17"/>
        <v>0.04</v>
      </c>
      <c r="G48" s="2">
        <f t="shared" si="18"/>
        <v>477.4153</v>
      </c>
      <c r="H48" s="2">
        <f t="shared" si="19"/>
        <v>325.453831487618</v>
      </c>
      <c r="I48" s="2">
        <f t="shared" si="20"/>
        <v>151.961468512382</v>
      </c>
      <c r="J48" s="2">
        <f t="shared" si="5"/>
        <v>97484.187977773021</v>
      </c>
      <c r="K48" s="2" t="e">
        <f t="shared" si="24"/>
        <v>#VALUE!</v>
      </c>
      <c r="L48" s="9">
        <v>1.6821425527395739E-3</v>
      </c>
      <c r="M48" s="2" t="e">
        <f t="shared" si="6"/>
        <v>#VALUE!</v>
      </c>
      <c r="N48" s="3">
        <f t="shared" si="7"/>
        <v>0.04</v>
      </c>
      <c r="O48" s="2" t="e">
        <f t="shared" si="8"/>
        <v>#VALUE!</v>
      </c>
      <c r="P48" s="10">
        <f t="shared" si="0"/>
        <v>0.97484187977773018</v>
      </c>
      <c r="Q48" s="13"/>
      <c r="R48" s="2" t="e">
        <f t="shared" si="21"/>
        <v>#VALUE!</v>
      </c>
      <c r="S48" s="2" t="e">
        <f t="shared" si="22"/>
        <v>#VALUE!</v>
      </c>
      <c r="T48" s="2" t="e">
        <f t="shared" ca="1" si="9"/>
        <v>#VALUE!</v>
      </c>
      <c r="U48" s="2" t="e">
        <f t="shared" si="23"/>
        <v>#VALUE!</v>
      </c>
      <c r="V48" s="2" t="e">
        <f t="shared" si="10"/>
        <v>#VALUE!</v>
      </c>
      <c r="W48" s="2">
        <f t="shared" si="11"/>
        <v>477.4153</v>
      </c>
      <c r="X48" s="2" t="e">
        <f t="shared" ca="1" si="12"/>
        <v>#VALUE!</v>
      </c>
      <c r="Y48" s="2" t="e">
        <f t="shared" ca="1" si="13"/>
        <v>#VALUE!</v>
      </c>
      <c r="Z48" s="10">
        <f t="shared" si="14"/>
        <v>0.94499803433345919</v>
      </c>
      <c r="AA48" s="10" t="e">
        <f t="shared" ca="1" si="1"/>
        <v>#VALUE!</v>
      </c>
      <c r="AB48" s="11" t="e">
        <f t="shared" si="15"/>
        <v>#VALUE!</v>
      </c>
      <c r="AC48" s="11" t="e">
        <f>SUM($S$31:S48)/$V$31</f>
        <v>#VALUE!</v>
      </c>
      <c r="AD48" s="11" t="e">
        <f>SUM($S$31:S48,$R$31:R48,$T$31:T48)/$V$31</f>
        <v>#VALUE!</v>
      </c>
      <c r="AE48" s="11" t="e">
        <f>SUM($M$31:M48)/$V$31</f>
        <v>#VALUE!</v>
      </c>
      <c r="AF48" s="11" t="e">
        <f ca="1">SUM(SUM($M$31:M48),-SUM($T$31:T48))/$V$31</f>
        <v>#VALUE!</v>
      </c>
      <c r="AG48">
        <f t="shared" si="2"/>
        <v>306</v>
      </c>
    </row>
    <row r="49" spans="2:33" x14ac:dyDescent="0.15">
      <c r="B49" s="1">
        <f t="shared" si="16"/>
        <v>18</v>
      </c>
      <c r="C49" s="1">
        <f t="shared" si="3"/>
        <v>18</v>
      </c>
      <c r="D49" s="25">
        <v>4.2981911265101902E-3</v>
      </c>
      <c r="E49" s="2">
        <f t="shared" si="4"/>
        <v>97484.187977773021</v>
      </c>
      <c r="F49" s="3">
        <f t="shared" si="17"/>
        <v>0.04</v>
      </c>
      <c r="G49" s="2">
        <f t="shared" si="18"/>
        <v>477.4153</v>
      </c>
      <c r="H49" s="2">
        <f t="shared" si="19"/>
        <v>324.94729325924345</v>
      </c>
      <c r="I49" s="2">
        <f t="shared" si="20"/>
        <v>152.46800674075655</v>
      </c>
      <c r="J49" s="2">
        <f t="shared" si="5"/>
        <v>97331.71997103226</v>
      </c>
      <c r="K49" s="2" t="e">
        <f t="shared" si="24"/>
        <v>#VALUE!</v>
      </c>
      <c r="L49" s="9">
        <v>1.6821425527395739E-3</v>
      </c>
      <c r="M49" s="2" t="e">
        <f t="shared" si="6"/>
        <v>#VALUE!</v>
      </c>
      <c r="N49" s="3">
        <f t="shared" si="7"/>
        <v>0.04</v>
      </c>
      <c r="O49" s="2" t="e">
        <f t="shared" si="8"/>
        <v>#VALUE!</v>
      </c>
      <c r="P49" s="10">
        <f t="shared" si="0"/>
        <v>0.9733171997103226</v>
      </c>
      <c r="Q49" s="13"/>
      <c r="R49" s="2" t="e">
        <f t="shared" si="21"/>
        <v>#VALUE!</v>
      </c>
      <c r="S49" s="2" t="e">
        <f t="shared" si="22"/>
        <v>#VALUE!</v>
      </c>
      <c r="T49" s="2" t="e">
        <f t="shared" ca="1" si="9"/>
        <v>#VALUE!</v>
      </c>
      <c r="U49" s="2" t="e">
        <f t="shared" si="23"/>
        <v>#VALUE!</v>
      </c>
      <c r="V49" s="2" t="e">
        <f t="shared" si="10"/>
        <v>#VALUE!</v>
      </c>
      <c r="W49" s="2">
        <f t="shared" si="11"/>
        <v>477.4153</v>
      </c>
      <c r="X49" s="2" t="e">
        <f t="shared" ca="1" si="12"/>
        <v>#VALUE!</v>
      </c>
      <c r="Y49" s="2" t="e">
        <f t="shared" ca="1" si="13"/>
        <v>#VALUE!</v>
      </c>
      <c r="Z49" s="10">
        <f t="shared" si="14"/>
        <v>0.94185850598099508</v>
      </c>
      <c r="AA49" s="10" t="e">
        <f t="shared" ca="1" si="1"/>
        <v>#VALUE!</v>
      </c>
      <c r="AB49" s="11" t="e">
        <f t="shared" si="15"/>
        <v>#VALUE!</v>
      </c>
      <c r="AC49" s="11" t="e">
        <f>SUM($S$31:S49)/$V$31</f>
        <v>#VALUE!</v>
      </c>
      <c r="AD49" s="11" t="e">
        <f>SUM($S$31:S49,$R$31:R49,$T$31:T49)/$V$31</f>
        <v>#VALUE!</v>
      </c>
      <c r="AE49" s="11" t="e">
        <f>SUM($M$31:M49)/$V$31</f>
        <v>#VALUE!</v>
      </c>
      <c r="AF49" s="11" t="e">
        <f ca="1">SUM(SUM($M$31:M49),-SUM($T$31:T49))/$V$31</f>
        <v>#VALUE!</v>
      </c>
      <c r="AG49">
        <f t="shared" si="2"/>
        <v>342</v>
      </c>
    </row>
    <row r="50" spans="2:33" x14ac:dyDescent="0.15">
      <c r="B50" s="1">
        <f t="shared" si="16"/>
        <v>19</v>
      </c>
      <c r="C50" s="1">
        <f t="shared" si="3"/>
        <v>19</v>
      </c>
      <c r="D50" s="25">
        <v>4.4730476577146197E-3</v>
      </c>
      <c r="E50" s="2">
        <f t="shared" si="4"/>
        <v>97331.71997103226</v>
      </c>
      <c r="F50" s="3">
        <f t="shared" si="17"/>
        <v>0.04</v>
      </c>
      <c r="G50" s="2">
        <f t="shared" si="18"/>
        <v>477.4153</v>
      </c>
      <c r="H50" s="2">
        <f t="shared" si="19"/>
        <v>324.43906657010757</v>
      </c>
      <c r="I50" s="2">
        <f t="shared" si="20"/>
        <v>152.97623342989243</v>
      </c>
      <c r="J50" s="2">
        <f t="shared" si="5"/>
        <v>97178.743737602374</v>
      </c>
      <c r="K50" s="2" t="e">
        <f t="shared" si="24"/>
        <v>#VALUE!</v>
      </c>
      <c r="L50" s="9">
        <v>1.6821425527395739E-3</v>
      </c>
      <c r="M50" s="2" t="e">
        <f t="shared" si="6"/>
        <v>#VALUE!</v>
      </c>
      <c r="N50" s="3">
        <f t="shared" si="7"/>
        <v>0.04</v>
      </c>
      <c r="O50" s="2" t="e">
        <f t="shared" si="8"/>
        <v>#VALUE!</v>
      </c>
      <c r="P50" s="10">
        <f t="shared" si="0"/>
        <v>0.97178743737602369</v>
      </c>
      <c r="Q50" s="13"/>
      <c r="R50" s="2" t="e">
        <f t="shared" si="21"/>
        <v>#VALUE!</v>
      </c>
      <c r="S50" s="2" t="e">
        <f t="shared" si="22"/>
        <v>#VALUE!</v>
      </c>
      <c r="T50" s="2" t="e">
        <f t="shared" ca="1" si="9"/>
        <v>#VALUE!</v>
      </c>
      <c r="U50" s="2" t="e">
        <f t="shared" si="23"/>
        <v>#VALUE!</v>
      </c>
      <c r="V50" s="2" t="e">
        <f t="shared" si="10"/>
        <v>#VALUE!</v>
      </c>
      <c r="W50" s="2">
        <f t="shared" si="11"/>
        <v>477.4153</v>
      </c>
      <c r="X50" s="2" t="e">
        <f t="shared" ca="1" si="12"/>
        <v>#VALUE!</v>
      </c>
      <c r="Y50" s="2" t="e">
        <f t="shared" ca="1" si="13"/>
        <v>#VALUE!</v>
      </c>
      <c r="Z50" s="10">
        <f t="shared" si="14"/>
        <v>0.93872940795528093</v>
      </c>
      <c r="AA50" s="10" t="e">
        <f t="shared" ca="1" si="1"/>
        <v>#VALUE!</v>
      </c>
      <c r="AB50" s="11" t="e">
        <f t="shared" si="15"/>
        <v>#VALUE!</v>
      </c>
      <c r="AC50" s="11" t="e">
        <f>SUM($S$31:S50)/$V$31</f>
        <v>#VALUE!</v>
      </c>
      <c r="AD50" s="11" t="e">
        <f>SUM($S$31:S50,$R$31:R50,$T$31:T50)/$V$31</f>
        <v>#VALUE!</v>
      </c>
      <c r="AE50" s="11" t="e">
        <f>SUM($M$31:M50)/$V$31</f>
        <v>#VALUE!</v>
      </c>
      <c r="AF50" s="11" t="e">
        <f ca="1">SUM(SUM($M$31:M50),-SUM($T$31:T50))/$V$31</f>
        <v>#VALUE!</v>
      </c>
      <c r="AG50">
        <f t="shared" si="2"/>
        <v>380</v>
      </c>
    </row>
    <row r="51" spans="2:33" x14ac:dyDescent="0.15">
      <c r="B51" s="1">
        <f t="shared" si="16"/>
        <v>20</v>
      </c>
      <c r="C51" s="1">
        <f t="shared" si="3"/>
        <v>20</v>
      </c>
      <c r="D51" s="25">
        <v>4.7329375313904902E-3</v>
      </c>
      <c r="E51" s="2">
        <f t="shared" si="4"/>
        <v>97178.743737602374</v>
      </c>
      <c r="F51" s="3">
        <f t="shared" si="17"/>
        <v>0.04</v>
      </c>
      <c r="G51" s="2">
        <f t="shared" si="18"/>
        <v>477.4153</v>
      </c>
      <c r="H51" s="2">
        <f t="shared" si="19"/>
        <v>323.92914579200794</v>
      </c>
      <c r="I51" s="2">
        <f t="shared" si="20"/>
        <v>153.48615420799206</v>
      </c>
      <c r="J51" s="2">
        <f t="shared" si="5"/>
        <v>97025.257583394385</v>
      </c>
      <c r="K51" s="2" t="e">
        <f t="shared" si="24"/>
        <v>#VALUE!</v>
      </c>
      <c r="L51" s="9">
        <v>1.6821425527395739E-3</v>
      </c>
      <c r="M51" s="2" t="e">
        <f t="shared" si="6"/>
        <v>#VALUE!</v>
      </c>
      <c r="N51" s="3">
        <f t="shared" si="7"/>
        <v>0.04</v>
      </c>
      <c r="O51" s="2" t="e">
        <f t="shared" si="8"/>
        <v>#VALUE!</v>
      </c>
      <c r="P51" s="10">
        <f t="shared" si="0"/>
        <v>0.97025257583394386</v>
      </c>
      <c r="Q51" s="13"/>
      <c r="R51" s="2" t="e">
        <f t="shared" si="21"/>
        <v>#VALUE!</v>
      </c>
      <c r="S51" s="2" t="e">
        <f t="shared" si="22"/>
        <v>#VALUE!</v>
      </c>
      <c r="T51" s="2" t="e">
        <f t="shared" ca="1" si="9"/>
        <v>#VALUE!</v>
      </c>
      <c r="U51" s="2" t="e">
        <f t="shared" si="23"/>
        <v>#VALUE!</v>
      </c>
      <c r="V51" s="2" t="e">
        <f t="shared" si="10"/>
        <v>#VALUE!</v>
      </c>
      <c r="W51" s="2">
        <f t="shared" si="11"/>
        <v>477.4153</v>
      </c>
      <c r="X51" s="2" t="e">
        <f t="shared" ca="1" si="12"/>
        <v>#VALUE!</v>
      </c>
      <c r="Y51" s="2" t="e">
        <f t="shared" ca="1" si="13"/>
        <v>#VALUE!</v>
      </c>
      <c r="Z51" s="10">
        <f t="shared" si="14"/>
        <v>0.935610705604068</v>
      </c>
      <c r="AA51" s="10" t="e">
        <f t="shared" ca="1" si="1"/>
        <v>#VALUE!</v>
      </c>
      <c r="AB51" s="11" t="e">
        <f t="shared" si="15"/>
        <v>#VALUE!</v>
      </c>
      <c r="AC51" s="11" t="e">
        <f>SUM($S$31:S51)/$V$31</f>
        <v>#VALUE!</v>
      </c>
      <c r="AD51" s="11" t="e">
        <f>SUM($S$31:S51,$R$31:R51,$T$31:T51)/$V$31</f>
        <v>#VALUE!</v>
      </c>
      <c r="AE51" s="11" t="e">
        <f>SUM($M$31:M51)/$V$31</f>
        <v>#VALUE!</v>
      </c>
      <c r="AF51" s="11" t="e">
        <f ca="1">SUM(SUM($M$31:M51),-SUM($T$31:T51))/$V$31</f>
        <v>#VALUE!</v>
      </c>
      <c r="AG51">
        <f t="shared" si="2"/>
        <v>420</v>
      </c>
    </row>
    <row r="52" spans="2:33" x14ac:dyDescent="0.15">
      <c r="B52" s="1">
        <f t="shared" si="16"/>
        <v>21</v>
      </c>
      <c r="C52" s="1">
        <f t="shared" si="3"/>
        <v>21</v>
      </c>
      <c r="D52" s="25">
        <v>5.0516041294314295E-3</v>
      </c>
      <c r="E52" s="2">
        <f t="shared" si="4"/>
        <v>97025.257583394385</v>
      </c>
      <c r="F52" s="3">
        <f t="shared" si="17"/>
        <v>0.04</v>
      </c>
      <c r="G52" s="2">
        <f t="shared" si="18"/>
        <v>477.4153</v>
      </c>
      <c r="H52" s="2">
        <f t="shared" si="19"/>
        <v>323.41752527798133</v>
      </c>
      <c r="I52" s="2">
        <f t="shared" si="20"/>
        <v>153.99777472201868</v>
      </c>
      <c r="J52" s="2">
        <f t="shared" si="5"/>
        <v>96871.259808672359</v>
      </c>
      <c r="K52" s="2" t="e">
        <f t="shared" si="24"/>
        <v>#VALUE!</v>
      </c>
      <c r="L52" s="9">
        <v>1.6821425527395739E-3</v>
      </c>
      <c r="M52" s="2" t="e">
        <f t="shared" si="6"/>
        <v>#VALUE!</v>
      </c>
      <c r="N52" s="3">
        <f t="shared" si="7"/>
        <v>0.04</v>
      </c>
      <c r="O52" s="2" t="e">
        <f t="shared" si="8"/>
        <v>#VALUE!</v>
      </c>
      <c r="P52" s="10">
        <f t="shared" si="0"/>
        <v>0.96871259808672361</v>
      </c>
      <c r="Q52" s="13"/>
      <c r="R52" s="2" t="e">
        <f t="shared" si="21"/>
        <v>#VALUE!</v>
      </c>
      <c r="S52" s="2" t="e">
        <f t="shared" si="22"/>
        <v>#VALUE!</v>
      </c>
      <c r="T52" s="2" t="e">
        <f t="shared" ca="1" si="9"/>
        <v>#VALUE!</v>
      </c>
      <c r="U52" s="2" t="e">
        <f t="shared" si="23"/>
        <v>#VALUE!</v>
      </c>
      <c r="V52" s="2" t="e">
        <f t="shared" si="10"/>
        <v>#VALUE!</v>
      </c>
      <c r="W52" s="2">
        <f t="shared" si="11"/>
        <v>477.4153</v>
      </c>
      <c r="X52" s="2" t="e">
        <f t="shared" ca="1" si="12"/>
        <v>#VALUE!</v>
      </c>
      <c r="Y52" s="2" t="e">
        <f t="shared" ca="1" si="13"/>
        <v>#VALUE!</v>
      </c>
      <c r="Z52" s="10">
        <f t="shared" si="14"/>
        <v>0.93250236439023182</v>
      </c>
      <c r="AA52" s="10" t="e">
        <f t="shared" ca="1" si="1"/>
        <v>#VALUE!</v>
      </c>
      <c r="AB52" s="11" t="e">
        <f t="shared" si="15"/>
        <v>#VALUE!</v>
      </c>
      <c r="AC52" s="11" t="e">
        <f>SUM($S$31:S52)/$V$31</f>
        <v>#VALUE!</v>
      </c>
      <c r="AD52" s="11" t="e">
        <f>SUM($S$31:S52,$R$31:R52,$T$31:T52)/$V$31</f>
        <v>#VALUE!</v>
      </c>
      <c r="AE52" s="11" t="e">
        <f>SUM($M$31:M52)/$V$31</f>
        <v>#VALUE!</v>
      </c>
      <c r="AF52" s="11" t="e">
        <f ca="1">SUM(SUM($M$31:M52),-SUM($T$31:T52))/$V$31</f>
        <v>#VALUE!</v>
      </c>
      <c r="AG52">
        <f t="shared" si="2"/>
        <v>462</v>
      </c>
    </row>
    <row r="53" spans="2:33" x14ac:dyDescent="0.15">
      <c r="B53" s="1">
        <f t="shared" si="16"/>
        <v>22</v>
      </c>
      <c r="C53" s="1">
        <f t="shared" si="3"/>
        <v>22</v>
      </c>
      <c r="D53" s="25">
        <v>5.2458276779537502E-3</v>
      </c>
      <c r="E53" s="2">
        <f t="shared" si="4"/>
        <v>96871.259808672359</v>
      </c>
      <c r="F53" s="3">
        <f t="shared" si="17"/>
        <v>0.04</v>
      </c>
      <c r="G53" s="2">
        <f t="shared" si="18"/>
        <v>477.4153</v>
      </c>
      <c r="H53" s="2">
        <f t="shared" si="19"/>
        <v>322.90419936224123</v>
      </c>
      <c r="I53" s="2">
        <f t="shared" si="20"/>
        <v>154.51110063775877</v>
      </c>
      <c r="J53" s="2">
        <f t="shared" si="5"/>
        <v>96716.748708034604</v>
      </c>
      <c r="K53" s="2" t="e">
        <f t="shared" si="24"/>
        <v>#VALUE!</v>
      </c>
      <c r="L53" s="9">
        <v>1.6821425527395739E-3</v>
      </c>
      <c r="M53" s="2" t="e">
        <f t="shared" si="6"/>
        <v>#VALUE!</v>
      </c>
      <c r="N53" s="3">
        <f t="shared" si="7"/>
        <v>0.04</v>
      </c>
      <c r="O53" s="2" t="e">
        <f t="shared" si="8"/>
        <v>#VALUE!</v>
      </c>
      <c r="P53" s="10">
        <f t="shared" si="0"/>
        <v>0.96716748708034606</v>
      </c>
      <c r="Q53" s="13"/>
      <c r="R53" s="2" t="e">
        <f t="shared" si="21"/>
        <v>#VALUE!</v>
      </c>
      <c r="S53" s="2" t="e">
        <f t="shared" si="22"/>
        <v>#VALUE!</v>
      </c>
      <c r="T53" s="2" t="e">
        <f t="shared" ca="1" si="9"/>
        <v>#VALUE!</v>
      </c>
      <c r="U53" s="2" t="e">
        <f t="shared" si="23"/>
        <v>#VALUE!</v>
      </c>
      <c r="V53" s="2" t="e">
        <f t="shared" si="10"/>
        <v>#VALUE!</v>
      </c>
      <c r="W53" s="2">
        <f t="shared" si="11"/>
        <v>477.4153</v>
      </c>
      <c r="X53" s="2" t="e">
        <f t="shared" ca="1" si="12"/>
        <v>#VALUE!</v>
      </c>
      <c r="Y53" s="2" t="e">
        <f t="shared" ca="1" si="13"/>
        <v>#VALUE!</v>
      </c>
      <c r="Z53" s="10">
        <f t="shared" si="14"/>
        <v>0.92940434989138898</v>
      </c>
      <c r="AA53" s="10" t="e">
        <f t="shared" ca="1" si="1"/>
        <v>#VALUE!</v>
      </c>
      <c r="AB53" s="11" t="e">
        <f t="shared" si="15"/>
        <v>#VALUE!</v>
      </c>
      <c r="AC53" s="11" t="e">
        <f>SUM($S$31:S53)/$V$31</f>
        <v>#VALUE!</v>
      </c>
      <c r="AD53" s="11" t="e">
        <f>SUM($S$31:S53,$R$31:R53,$T$31:T53)/$V$31</f>
        <v>#VALUE!</v>
      </c>
      <c r="AE53" s="11" t="e">
        <f>SUM($M$31:M53)/$V$31</f>
        <v>#VALUE!</v>
      </c>
      <c r="AF53" s="11" t="e">
        <f ca="1">SUM(SUM($M$31:M53),-SUM($T$31:T53))/$V$31</f>
        <v>#VALUE!</v>
      </c>
      <c r="AG53">
        <f t="shared" si="2"/>
        <v>506</v>
      </c>
    </row>
    <row r="54" spans="2:33" x14ac:dyDescent="0.15">
      <c r="B54" s="1">
        <f t="shared" si="16"/>
        <v>23</v>
      </c>
      <c r="C54" s="1">
        <f t="shared" si="3"/>
        <v>23</v>
      </c>
      <c r="D54" s="25">
        <v>5.5736210968947196E-3</v>
      </c>
      <c r="E54" s="2">
        <f t="shared" si="4"/>
        <v>96716.748708034604</v>
      </c>
      <c r="F54" s="3">
        <f t="shared" si="17"/>
        <v>0.04</v>
      </c>
      <c r="G54" s="2">
        <f t="shared" si="18"/>
        <v>477.4153</v>
      </c>
      <c r="H54" s="2">
        <f t="shared" si="19"/>
        <v>322.38916236011539</v>
      </c>
      <c r="I54" s="2">
        <f t="shared" si="20"/>
        <v>155.02613763988461</v>
      </c>
      <c r="J54" s="2">
        <f t="shared" si="5"/>
        <v>96561.722570394719</v>
      </c>
      <c r="K54" s="2" t="e">
        <f t="shared" si="24"/>
        <v>#VALUE!</v>
      </c>
      <c r="L54" s="9">
        <v>1.6821425527395739E-3</v>
      </c>
      <c r="M54" s="2" t="e">
        <f t="shared" si="6"/>
        <v>#VALUE!</v>
      </c>
      <c r="N54" s="3">
        <f t="shared" si="7"/>
        <v>0.04</v>
      </c>
      <c r="O54" s="2" t="e">
        <f t="shared" si="8"/>
        <v>#VALUE!</v>
      </c>
      <c r="P54" s="10">
        <f t="shared" si="0"/>
        <v>0.96561722570394715</v>
      </c>
      <c r="Q54" s="13"/>
      <c r="R54" s="2" t="e">
        <f t="shared" si="21"/>
        <v>#VALUE!</v>
      </c>
      <c r="S54" s="2" t="e">
        <f t="shared" si="22"/>
        <v>#VALUE!</v>
      </c>
      <c r="T54" s="2" t="e">
        <f t="shared" ca="1" si="9"/>
        <v>#VALUE!</v>
      </c>
      <c r="U54" s="2" t="e">
        <f t="shared" si="23"/>
        <v>#VALUE!</v>
      </c>
      <c r="V54" s="2" t="e">
        <f t="shared" si="10"/>
        <v>#VALUE!</v>
      </c>
      <c r="W54" s="2">
        <f t="shared" si="11"/>
        <v>477.4153</v>
      </c>
      <c r="X54" s="2" t="e">
        <f t="shared" ca="1" si="12"/>
        <v>#VALUE!</v>
      </c>
      <c r="Y54" s="2" t="e">
        <f t="shared" ca="1" si="13"/>
        <v>#VALUE!</v>
      </c>
      <c r="Z54" s="10">
        <f t="shared" si="14"/>
        <v>0.92631662779951662</v>
      </c>
      <c r="AA54" s="10" t="e">
        <f t="shared" ca="1" si="1"/>
        <v>#VALUE!</v>
      </c>
      <c r="AB54" s="11" t="e">
        <f t="shared" si="15"/>
        <v>#VALUE!</v>
      </c>
      <c r="AC54" s="11" t="e">
        <f>SUM($S$31:S54)/$V$31</f>
        <v>#VALUE!</v>
      </c>
      <c r="AD54" s="11" t="e">
        <f>SUM($S$31:S54,$R$31:R54,$T$31:T54)/$V$31</f>
        <v>#VALUE!</v>
      </c>
      <c r="AE54" s="11" t="e">
        <f>SUM($M$31:M54)/$V$31</f>
        <v>#VALUE!</v>
      </c>
      <c r="AF54" s="11" t="e">
        <f ca="1">SUM(SUM($M$31:M54),-SUM($T$31:T54))/$V$31</f>
        <v>#VALUE!</v>
      </c>
      <c r="AG54">
        <f t="shared" si="2"/>
        <v>552</v>
      </c>
    </row>
    <row r="55" spans="2:33" x14ac:dyDescent="0.15">
      <c r="B55" s="1">
        <f t="shared" si="16"/>
        <v>24</v>
      </c>
      <c r="C55" s="1">
        <f t="shared" si="3"/>
        <v>24</v>
      </c>
      <c r="D55" s="25">
        <v>5.9526233111901403E-3</v>
      </c>
      <c r="E55" s="2">
        <f t="shared" si="4"/>
        <v>96561.722570394719</v>
      </c>
      <c r="F55" s="3">
        <f t="shared" si="17"/>
        <v>0.04</v>
      </c>
      <c r="G55" s="2">
        <f t="shared" si="18"/>
        <v>477.4153</v>
      </c>
      <c r="H55" s="2">
        <f t="shared" si="19"/>
        <v>321.8724085679824</v>
      </c>
      <c r="I55" s="2">
        <f t="shared" si="20"/>
        <v>155.5428914320176</v>
      </c>
      <c r="J55" s="2">
        <f t="shared" si="5"/>
        <v>96406.179678962697</v>
      </c>
      <c r="K55" s="2" t="e">
        <f t="shared" si="24"/>
        <v>#VALUE!</v>
      </c>
      <c r="L55" s="9">
        <v>1.6821425527395739E-3</v>
      </c>
      <c r="M55" s="2" t="e">
        <f t="shared" si="6"/>
        <v>#VALUE!</v>
      </c>
      <c r="N55" s="3">
        <f t="shared" si="7"/>
        <v>0.04</v>
      </c>
      <c r="O55" s="2" t="e">
        <f t="shared" si="8"/>
        <v>#VALUE!</v>
      </c>
      <c r="P55" s="10">
        <f t="shared" si="0"/>
        <v>0.964061796789627</v>
      </c>
      <c r="Q55" s="13"/>
      <c r="R55" s="2" t="e">
        <f t="shared" si="21"/>
        <v>#VALUE!</v>
      </c>
      <c r="S55" s="2" t="e">
        <f t="shared" si="22"/>
        <v>#VALUE!</v>
      </c>
      <c r="T55" s="2" t="e">
        <f t="shared" ca="1" si="9"/>
        <v>#VALUE!</v>
      </c>
      <c r="U55" s="2" t="e">
        <f t="shared" si="23"/>
        <v>#VALUE!</v>
      </c>
      <c r="V55" s="2" t="e">
        <f t="shared" si="10"/>
        <v>#VALUE!</v>
      </c>
      <c r="W55" s="2">
        <f t="shared" si="11"/>
        <v>477.4153</v>
      </c>
      <c r="X55" s="2" t="e">
        <f t="shared" ca="1" si="12"/>
        <v>#VALUE!</v>
      </c>
      <c r="Y55" s="2" t="e">
        <f t="shared" ca="1" si="13"/>
        <v>#VALUE!</v>
      </c>
      <c r="Z55" s="10">
        <f t="shared" si="14"/>
        <v>0.92323916392057137</v>
      </c>
      <c r="AA55" s="10" t="e">
        <f t="shared" ca="1" si="1"/>
        <v>#VALUE!</v>
      </c>
      <c r="AB55" s="11" t="e">
        <f t="shared" si="15"/>
        <v>#VALUE!</v>
      </c>
      <c r="AC55" s="11" t="e">
        <f>SUM($S$31:S55)/$V$31</f>
        <v>#VALUE!</v>
      </c>
      <c r="AD55" s="11" t="e">
        <f>SUM($S$31:S55,$R$31:R55,$T$31:T55)/$V$31</f>
        <v>#VALUE!</v>
      </c>
      <c r="AE55" s="11" t="e">
        <f>SUM($M$31:M55)/$V$31</f>
        <v>#VALUE!</v>
      </c>
      <c r="AF55" s="11" t="e">
        <f ca="1">SUM(SUM($M$31:M55),-SUM($T$31:T55))/$V$31</f>
        <v>#VALUE!</v>
      </c>
      <c r="AG55">
        <f t="shared" si="2"/>
        <v>600</v>
      </c>
    </row>
    <row r="56" spans="2:33" x14ac:dyDescent="0.15">
      <c r="B56" s="1">
        <f t="shared" si="16"/>
        <v>25</v>
      </c>
      <c r="C56" s="1">
        <f t="shared" si="3"/>
        <v>25</v>
      </c>
      <c r="D56" s="25">
        <v>6.1654220446034202E-3</v>
      </c>
      <c r="E56" s="2">
        <f t="shared" si="4"/>
        <v>96406.179678962697</v>
      </c>
      <c r="F56" s="3">
        <f t="shared" si="17"/>
        <v>0.04</v>
      </c>
      <c r="G56" s="2">
        <f t="shared" si="18"/>
        <v>477.4153</v>
      </c>
      <c r="H56" s="2">
        <f t="shared" si="19"/>
        <v>321.353932263209</v>
      </c>
      <c r="I56" s="2">
        <f t="shared" si="20"/>
        <v>156.061367736791</v>
      </c>
      <c r="J56" s="2">
        <f t="shared" si="5"/>
        <v>96250.118311225902</v>
      </c>
      <c r="K56" s="2" t="e">
        <f t="shared" si="24"/>
        <v>#VALUE!</v>
      </c>
      <c r="L56" s="9">
        <v>1.6821425527395739E-3</v>
      </c>
      <c r="M56" s="2" t="e">
        <f t="shared" si="6"/>
        <v>#VALUE!</v>
      </c>
      <c r="N56" s="3">
        <f t="shared" si="7"/>
        <v>0.04</v>
      </c>
      <c r="O56" s="2" t="e">
        <f t="shared" si="8"/>
        <v>#VALUE!</v>
      </c>
      <c r="P56" s="10">
        <f t="shared" si="0"/>
        <v>0.96250118311225907</v>
      </c>
      <c r="Q56" s="13"/>
      <c r="R56" s="2" t="e">
        <f t="shared" si="21"/>
        <v>#VALUE!</v>
      </c>
      <c r="S56" s="2" t="e">
        <f t="shared" si="22"/>
        <v>#VALUE!</v>
      </c>
      <c r="T56" s="2" t="e">
        <f t="shared" ca="1" si="9"/>
        <v>#VALUE!</v>
      </c>
      <c r="U56" s="2" t="e">
        <f t="shared" si="23"/>
        <v>#VALUE!</v>
      </c>
      <c r="V56" s="2" t="e">
        <f t="shared" si="10"/>
        <v>#VALUE!</v>
      </c>
      <c r="W56" s="2">
        <f t="shared" si="11"/>
        <v>477.4153</v>
      </c>
      <c r="X56" s="2" t="e">
        <f t="shared" ca="1" si="12"/>
        <v>#VALUE!</v>
      </c>
      <c r="Y56" s="2" t="e">
        <f t="shared" ca="1" si="13"/>
        <v>#VALUE!</v>
      </c>
      <c r="Z56" s="10">
        <f t="shared" si="14"/>
        <v>0.92017192417411175</v>
      </c>
      <c r="AA56" s="10" t="e">
        <f t="shared" ca="1" si="1"/>
        <v>#VALUE!</v>
      </c>
      <c r="AB56" s="11" t="e">
        <f t="shared" si="15"/>
        <v>#VALUE!</v>
      </c>
      <c r="AC56" s="11" t="e">
        <f>SUM($S$31:S56)/$V$31</f>
        <v>#VALUE!</v>
      </c>
      <c r="AD56" s="11" t="e">
        <f>SUM($S$31:S56,$R$31:R56,$T$31:T56)/$V$31</f>
        <v>#VALUE!</v>
      </c>
      <c r="AE56" s="11" t="e">
        <f>SUM($M$31:M56)/$V$31</f>
        <v>#VALUE!</v>
      </c>
      <c r="AF56" s="11" t="e">
        <f ca="1">SUM(SUM($M$31:M56),-SUM($T$31:T56))/$V$31</f>
        <v>#VALUE!</v>
      </c>
      <c r="AG56">
        <f t="shared" si="2"/>
        <v>650</v>
      </c>
    </row>
    <row r="57" spans="2:33" x14ac:dyDescent="0.15">
      <c r="B57" s="1">
        <f t="shared" si="16"/>
        <v>26</v>
      </c>
      <c r="C57" s="1">
        <f t="shared" si="3"/>
        <v>26</v>
      </c>
      <c r="D57" s="25">
        <v>6.3810024366124296E-3</v>
      </c>
      <c r="E57" s="2">
        <f t="shared" si="4"/>
        <v>96250.118311225902</v>
      </c>
      <c r="F57" s="3">
        <f t="shared" si="17"/>
        <v>0.04</v>
      </c>
      <c r="G57" s="2">
        <f t="shared" si="18"/>
        <v>477.4153</v>
      </c>
      <c r="H57" s="2">
        <f t="shared" si="19"/>
        <v>320.83372770408636</v>
      </c>
      <c r="I57" s="2">
        <f t="shared" si="20"/>
        <v>156.58157229591365</v>
      </c>
      <c r="J57" s="2">
        <f t="shared" si="5"/>
        <v>96093.536738929994</v>
      </c>
      <c r="K57" s="2" t="e">
        <f t="shared" si="24"/>
        <v>#VALUE!</v>
      </c>
      <c r="L57" s="9">
        <v>1.6821425527395739E-3</v>
      </c>
      <c r="M57" s="2" t="e">
        <f t="shared" si="6"/>
        <v>#VALUE!</v>
      </c>
      <c r="N57" s="3">
        <f t="shared" si="7"/>
        <v>0.04</v>
      </c>
      <c r="O57" s="2" t="e">
        <f t="shared" si="8"/>
        <v>#VALUE!</v>
      </c>
      <c r="P57" s="10">
        <f t="shared" si="0"/>
        <v>0.96093536738929997</v>
      </c>
      <c r="Q57" s="13"/>
      <c r="R57" s="2" t="e">
        <f t="shared" si="21"/>
        <v>#VALUE!</v>
      </c>
      <c r="S57" s="2" t="e">
        <f t="shared" si="22"/>
        <v>#VALUE!</v>
      </c>
      <c r="T57" s="2" t="e">
        <f t="shared" ca="1" si="9"/>
        <v>#VALUE!</v>
      </c>
      <c r="U57" s="2" t="e">
        <f t="shared" si="23"/>
        <v>#VALUE!</v>
      </c>
      <c r="V57" s="2" t="e">
        <f t="shared" si="10"/>
        <v>#VALUE!</v>
      </c>
      <c r="W57" s="2">
        <f t="shared" si="11"/>
        <v>477.4153</v>
      </c>
      <c r="X57" s="2" t="e">
        <f t="shared" ca="1" si="12"/>
        <v>#VALUE!</v>
      </c>
      <c r="Y57" s="2" t="e">
        <f t="shared" ca="1" si="13"/>
        <v>#VALUE!</v>
      </c>
      <c r="Z57" s="10">
        <f t="shared" si="14"/>
        <v>0.91711487459291996</v>
      </c>
      <c r="AA57" s="10" t="e">
        <f t="shared" ca="1" si="1"/>
        <v>#VALUE!</v>
      </c>
      <c r="AB57" s="11" t="e">
        <f t="shared" si="15"/>
        <v>#VALUE!</v>
      </c>
      <c r="AC57" s="11" t="e">
        <f>SUM($S$31:S57)/$V$31</f>
        <v>#VALUE!</v>
      </c>
      <c r="AD57" s="11" t="e">
        <f>SUM($S$31:S57,$R$31:R57,$T$31:T57)/$V$31</f>
        <v>#VALUE!</v>
      </c>
      <c r="AE57" s="11" t="e">
        <f>SUM($M$31:M57)/$V$31</f>
        <v>#VALUE!</v>
      </c>
      <c r="AF57" s="11" t="e">
        <f ca="1">SUM(SUM($M$31:M57),-SUM($T$31:T57))/$V$31</f>
        <v>#VALUE!</v>
      </c>
      <c r="AG57">
        <f t="shared" si="2"/>
        <v>702</v>
      </c>
    </row>
    <row r="58" spans="2:33" x14ac:dyDescent="0.15">
      <c r="B58" s="1">
        <f t="shared" si="16"/>
        <v>27</v>
      </c>
      <c r="C58" s="1">
        <f t="shared" si="3"/>
        <v>27</v>
      </c>
      <c r="D58" s="25">
        <v>6.6835849270879795E-3</v>
      </c>
      <c r="E58" s="2">
        <f t="shared" si="4"/>
        <v>96093.536738929994</v>
      </c>
      <c r="F58" s="3">
        <f t="shared" si="17"/>
        <v>0.04</v>
      </c>
      <c r="G58" s="2">
        <f t="shared" si="18"/>
        <v>477.4153</v>
      </c>
      <c r="H58" s="2">
        <f t="shared" si="19"/>
        <v>320.31178912976668</v>
      </c>
      <c r="I58" s="2">
        <f t="shared" si="20"/>
        <v>157.10351087023332</v>
      </c>
      <c r="J58" s="2">
        <f t="shared" si="5"/>
        <v>95936.433228059759</v>
      </c>
      <c r="K58" s="2" t="e">
        <f t="shared" si="24"/>
        <v>#VALUE!</v>
      </c>
      <c r="L58" s="9">
        <v>1.6821425527395739E-3</v>
      </c>
      <c r="M58" s="2" t="e">
        <f t="shared" si="6"/>
        <v>#VALUE!</v>
      </c>
      <c r="N58" s="3">
        <f t="shared" si="7"/>
        <v>0.04</v>
      </c>
      <c r="O58" s="2" t="e">
        <f t="shared" si="8"/>
        <v>#VALUE!</v>
      </c>
      <c r="P58" s="10">
        <f t="shared" si="0"/>
        <v>0.95936433228059759</v>
      </c>
      <c r="Q58" s="13"/>
      <c r="R58" s="2" t="e">
        <f t="shared" si="21"/>
        <v>#VALUE!</v>
      </c>
      <c r="S58" s="2" t="e">
        <f t="shared" si="22"/>
        <v>#VALUE!</v>
      </c>
      <c r="T58" s="2" t="e">
        <f t="shared" ca="1" si="9"/>
        <v>#VALUE!</v>
      </c>
      <c r="U58" s="2" t="e">
        <f t="shared" si="23"/>
        <v>#VALUE!</v>
      </c>
      <c r="V58" s="2" t="e">
        <f t="shared" si="10"/>
        <v>#VALUE!</v>
      </c>
      <c r="W58" s="2">
        <f t="shared" si="11"/>
        <v>477.4153</v>
      </c>
      <c r="X58" s="2" t="e">
        <f t="shared" ca="1" si="12"/>
        <v>#VALUE!</v>
      </c>
      <c r="Y58" s="2" t="e">
        <f t="shared" ca="1" si="13"/>
        <v>#VALUE!</v>
      </c>
      <c r="Z58" s="10">
        <f t="shared" si="14"/>
        <v>0.91406798132262679</v>
      </c>
      <c r="AA58" s="10" t="e">
        <f t="shared" ca="1" si="1"/>
        <v>#VALUE!</v>
      </c>
      <c r="AB58" s="11" t="e">
        <f t="shared" si="15"/>
        <v>#VALUE!</v>
      </c>
      <c r="AC58" s="11" t="e">
        <f>SUM($S$31:S58)/$V$31</f>
        <v>#VALUE!</v>
      </c>
      <c r="AD58" s="11" t="e">
        <f>SUM($S$31:S58,$R$31:R58,$T$31:T58)/$V$31</f>
        <v>#VALUE!</v>
      </c>
      <c r="AE58" s="11" t="e">
        <f>SUM($M$31:M58)/$V$31</f>
        <v>#VALUE!</v>
      </c>
      <c r="AF58" s="11" t="e">
        <f ca="1">SUM(SUM($M$31:M58),-SUM($T$31:T58))/$V$31</f>
        <v>#VALUE!</v>
      </c>
      <c r="AG58">
        <f t="shared" si="2"/>
        <v>756</v>
      </c>
    </row>
    <row r="59" spans="2:33" x14ac:dyDescent="0.15">
      <c r="B59" s="1">
        <f t="shared" si="16"/>
        <v>28</v>
      </c>
      <c r="C59" s="1">
        <f t="shared" si="3"/>
        <v>28</v>
      </c>
      <c r="D59" s="25">
        <v>7.0124272881188299E-3</v>
      </c>
      <c r="E59" s="2">
        <f t="shared" si="4"/>
        <v>95936.433228059759</v>
      </c>
      <c r="F59" s="3">
        <f t="shared" si="17"/>
        <v>0.04</v>
      </c>
      <c r="G59" s="2">
        <f t="shared" si="18"/>
        <v>477.4153</v>
      </c>
      <c r="H59" s="2">
        <f t="shared" si="19"/>
        <v>319.78811076019923</v>
      </c>
      <c r="I59" s="2">
        <f t="shared" si="20"/>
        <v>157.62718923980077</v>
      </c>
      <c r="J59" s="2">
        <f t="shared" si="5"/>
        <v>95778.806038819952</v>
      </c>
      <c r="K59" s="2" t="e">
        <f t="shared" si="24"/>
        <v>#VALUE!</v>
      </c>
      <c r="L59" s="9">
        <v>1.6821425527395739E-3</v>
      </c>
      <c r="M59" s="2" t="e">
        <f t="shared" si="6"/>
        <v>#VALUE!</v>
      </c>
      <c r="N59" s="3">
        <f t="shared" si="7"/>
        <v>0.04</v>
      </c>
      <c r="O59" s="2" t="e">
        <f t="shared" si="8"/>
        <v>#VALUE!</v>
      </c>
      <c r="P59" s="10">
        <f t="shared" si="0"/>
        <v>0.95778806038819952</v>
      </c>
      <c r="Q59" s="13"/>
      <c r="R59" s="2" t="e">
        <f t="shared" si="21"/>
        <v>#VALUE!</v>
      </c>
      <c r="S59" s="2" t="e">
        <f t="shared" si="22"/>
        <v>#VALUE!</v>
      </c>
      <c r="T59" s="2" t="e">
        <f t="shared" ca="1" si="9"/>
        <v>#VALUE!</v>
      </c>
      <c r="U59" s="2" t="e">
        <f t="shared" si="23"/>
        <v>#VALUE!</v>
      </c>
      <c r="V59" s="2" t="e">
        <f t="shared" si="10"/>
        <v>#VALUE!</v>
      </c>
      <c r="W59" s="2">
        <f t="shared" si="11"/>
        <v>477.4153</v>
      </c>
      <c r="X59" s="2" t="e">
        <f t="shared" ca="1" si="12"/>
        <v>#VALUE!</v>
      </c>
      <c r="Y59" s="2" t="e">
        <f t="shared" ca="1" si="13"/>
        <v>#VALUE!</v>
      </c>
      <c r="Z59" s="10">
        <f t="shared" si="14"/>
        <v>0.9110312106213353</v>
      </c>
      <c r="AA59" s="10" t="e">
        <f t="shared" ca="1" si="1"/>
        <v>#VALUE!</v>
      </c>
      <c r="AB59" s="11" t="e">
        <f t="shared" si="15"/>
        <v>#VALUE!</v>
      </c>
      <c r="AC59" s="11" t="e">
        <f>SUM($S$31:S59)/$V$31</f>
        <v>#VALUE!</v>
      </c>
      <c r="AD59" s="11" t="e">
        <f>SUM($S$31:S59,$R$31:R59,$T$31:T59)/$V$31</f>
        <v>#VALUE!</v>
      </c>
      <c r="AE59" s="11" t="e">
        <f>SUM($M$31:M59)/$V$31</f>
        <v>#VALUE!</v>
      </c>
      <c r="AF59" s="11" t="e">
        <f ca="1">SUM(SUM($M$31:M59),-SUM($T$31:T59))/$V$31</f>
        <v>#VALUE!</v>
      </c>
      <c r="AG59">
        <f t="shared" si="2"/>
        <v>812</v>
      </c>
    </row>
    <row r="60" spans="2:33" x14ac:dyDescent="0.15">
      <c r="B60" s="1">
        <f t="shared" si="16"/>
        <v>29</v>
      </c>
      <c r="C60" s="1">
        <f t="shared" si="3"/>
        <v>29</v>
      </c>
      <c r="D60" s="25">
        <v>7.3527905462423306E-3</v>
      </c>
      <c r="E60" s="2">
        <f t="shared" si="4"/>
        <v>95778.806038819952</v>
      </c>
      <c r="F60" s="3">
        <f t="shared" si="17"/>
        <v>0.04</v>
      </c>
      <c r="G60" s="2">
        <f t="shared" si="18"/>
        <v>477.4153</v>
      </c>
      <c r="H60" s="2">
        <f t="shared" si="19"/>
        <v>319.26268679606653</v>
      </c>
      <c r="I60" s="2">
        <f t="shared" si="20"/>
        <v>158.15261320393347</v>
      </c>
      <c r="J60" s="2">
        <f t="shared" si="5"/>
        <v>95620.653425616023</v>
      </c>
      <c r="K60" s="2" t="e">
        <f t="shared" si="24"/>
        <v>#VALUE!</v>
      </c>
      <c r="L60" s="9">
        <v>1.6821425527395739E-3</v>
      </c>
      <c r="M60" s="2" t="e">
        <f t="shared" si="6"/>
        <v>#VALUE!</v>
      </c>
      <c r="N60" s="3">
        <f t="shared" si="7"/>
        <v>0.04</v>
      </c>
      <c r="O60" s="2" t="e">
        <f t="shared" si="8"/>
        <v>#VALUE!</v>
      </c>
      <c r="P60" s="10">
        <f t="shared" si="0"/>
        <v>0.9562065342561602</v>
      </c>
      <c r="Q60" s="13"/>
      <c r="R60" s="2" t="e">
        <f t="shared" si="21"/>
        <v>#VALUE!</v>
      </c>
      <c r="S60" s="2" t="e">
        <f t="shared" si="22"/>
        <v>#VALUE!</v>
      </c>
      <c r="T60" s="2" t="e">
        <f t="shared" ca="1" si="9"/>
        <v>#VALUE!</v>
      </c>
      <c r="U60" s="2" t="e">
        <f t="shared" si="23"/>
        <v>#VALUE!</v>
      </c>
      <c r="V60" s="2" t="e">
        <f t="shared" si="10"/>
        <v>#VALUE!</v>
      </c>
      <c r="W60" s="2">
        <f t="shared" si="11"/>
        <v>477.4153</v>
      </c>
      <c r="X60" s="2" t="e">
        <f t="shared" ca="1" si="12"/>
        <v>#VALUE!</v>
      </c>
      <c r="Y60" s="2" t="e">
        <f t="shared" ca="1" si="13"/>
        <v>#VALUE!</v>
      </c>
      <c r="Z60" s="10">
        <f t="shared" si="14"/>
        <v>0.90800452885924809</v>
      </c>
      <c r="AA60" s="10" t="e">
        <f t="shared" ca="1" si="1"/>
        <v>#VALUE!</v>
      </c>
      <c r="AB60" s="11" t="e">
        <f t="shared" si="15"/>
        <v>#VALUE!</v>
      </c>
      <c r="AC60" s="11" t="e">
        <f>SUM($S$31:S60)/$V$31</f>
        <v>#VALUE!</v>
      </c>
      <c r="AD60" s="11" t="e">
        <f>SUM($S$31:S60,$R$31:R60,$T$31:T60)/$V$31</f>
        <v>#VALUE!</v>
      </c>
      <c r="AE60" s="11" t="e">
        <f>SUM($M$31:M60)/$V$31</f>
        <v>#VALUE!</v>
      </c>
      <c r="AF60" s="11" t="e">
        <f ca="1">SUM(SUM($M$31:M60),-SUM($T$31:T60))/$V$31</f>
        <v>#VALUE!</v>
      </c>
      <c r="AG60">
        <f t="shared" si="2"/>
        <v>870</v>
      </c>
    </row>
    <row r="61" spans="2:33" x14ac:dyDescent="0.15">
      <c r="B61" s="1">
        <f t="shared" si="16"/>
        <v>30</v>
      </c>
      <c r="C61" s="1">
        <f t="shared" si="3"/>
        <v>30</v>
      </c>
      <c r="D61" s="25">
        <v>7.7044768222486806E-3</v>
      </c>
      <c r="E61" s="2">
        <f t="shared" si="4"/>
        <v>95620.653425616023</v>
      </c>
      <c r="F61" s="3">
        <f t="shared" si="17"/>
        <v>0.04</v>
      </c>
      <c r="G61" s="2">
        <f t="shared" si="18"/>
        <v>477.4153</v>
      </c>
      <c r="H61" s="2">
        <f t="shared" si="19"/>
        <v>318.73551141872008</v>
      </c>
      <c r="I61" s="2">
        <f t="shared" si="20"/>
        <v>158.67978858127992</v>
      </c>
      <c r="J61" s="2">
        <f t="shared" si="5"/>
        <v>95461.973637034738</v>
      </c>
      <c r="K61" s="2" t="e">
        <f t="shared" si="24"/>
        <v>#VALUE!</v>
      </c>
      <c r="L61" s="9">
        <v>1.6821425527395739E-3</v>
      </c>
      <c r="M61" s="2" t="e">
        <f t="shared" si="6"/>
        <v>#VALUE!</v>
      </c>
      <c r="N61" s="3">
        <f t="shared" si="7"/>
        <v>0.04</v>
      </c>
      <c r="O61" s="2" t="e">
        <f t="shared" si="8"/>
        <v>#VALUE!</v>
      </c>
      <c r="P61" s="10">
        <f t="shared" si="0"/>
        <v>0.95461973637034736</v>
      </c>
      <c r="Q61" s="13"/>
      <c r="R61" s="2" t="e">
        <f t="shared" si="21"/>
        <v>#VALUE!</v>
      </c>
      <c r="S61" s="2" t="e">
        <f t="shared" si="22"/>
        <v>#VALUE!</v>
      </c>
      <c r="T61" s="2" t="e">
        <f t="shared" ca="1" si="9"/>
        <v>#VALUE!</v>
      </c>
      <c r="U61" s="2" t="e">
        <f t="shared" si="23"/>
        <v>#VALUE!</v>
      </c>
      <c r="V61" s="2" t="e">
        <f t="shared" si="10"/>
        <v>#VALUE!</v>
      </c>
      <c r="W61" s="2">
        <f t="shared" si="11"/>
        <v>477.4153</v>
      </c>
      <c r="X61" s="2" t="e">
        <f t="shared" ca="1" si="12"/>
        <v>#VALUE!</v>
      </c>
      <c r="Y61" s="2" t="e">
        <f t="shared" ca="1" si="13"/>
        <v>#VALUE!</v>
      </c>
      <c r="Z61" s="10">
        <f t="shared" si="14"/>
        <v>0.90498790251829453</v>
      </c>
      <c r="AA61" s="10" t="e">
        <f t="shared" ca="1" si="1"/>
        <v>#VALUE!</v>
      </c>
      <c r="AB61" s="11" t="e">
        <f t="shared" si="15"/>
        <v>#VALUE!</v>
      </c>
      <c r="AC61" s="11" t="e">
        <f>SUM($S$31:S61)/$V$31</f>
        <v>#VALUE!</v>
      </c>
      <c r="AD61" s="11" t="e">
        <f>SUM($S$31:S61,$R$31:R61,$T$31:T61)/$V$31</f>
        <v>#VALUE!</v>
      </c>
      <c r="AE61" s="11" t="e">
        <f>SUM($M$31:M61)/$V$31</f>
        <v>#VALUE!</v>
      </c>
      <c r="AF61" s="11" t="e">
        <f ca="1">SUM(SUM($M$31:M61),-SUM($T$31:T61))/$V$31</f>
        <v>#VALUE!</v>
      </c>
      <c r="AG61">
        <f t="shared" si="2"/>
        <v>930</v>
      </c>
    </row>
    <row r="62" spans="2:33" x14ac:dyDescent="0.15">
      <c r="B62" s="1">
        <f t="shared" si="16"/>
        <v>31</v>
      </c>
      <c r="C62" s="1">
        <f t="shared" si="3"/>
        <v>31</v>
      </c>
      <c r="D62" s="25">
        <v>8.0736742537916399E-3</v>
      </c>
      <c r="E62" s="2">
        <f t="shared" si="4"/>
        <v>95461.973637034738</v>
      </c>
      <c r="F62" s="3">
        <f t="shared" si="17"/>
        <v>0.04</v>
      </c>
      <c r="G62" s="2">
        <f t="shared" si="18"/>
        <v>477.4153</v>
      </c>
      <c r="H62" s="2">
        <f t="shared" si="19"/>
        <v>318.20657879011583</v>
      </c>
      <c r="I62" s="2">
        <f t="shared" si="20"/>
        <v>159.20872120988417</v>
      </c>
      <c r="J62" s="2">
        <f t="shared" si="5"/>
        <v>95302.764915824853</v>
      </c>
      <c r="K62" s="2" t="e">
        <f t="shared" si="24"/>
        <v>#VALUE!</v>
      </c>
      <c r="L62" s="9">
        <v>1.6821425527395739E-3</v>
      </c>
      <c r="M62" s="2" t="e">
        <f t="shared" si="6"/>
        <v>#VALUE!</v>
      </c>
      <c r="N62" s="3">
        <f t="shared" si="7"/>
        <v>0.04</v>
      </c>
      <c r="O62" s="2" t="e">
        <f t="shared" si="8"/>
        <v>#VALUE!</v>
      </c>
      <c r="P62" s="10">
        <f t="shared" si="0"/>
        <v>0.95302764915824856</v>
      </c>
      <c r="Q62" s="13"/>
      <c r="R62" s="2" t="e">
        <f t="shared" si="21"/>
        <v>#VALUE!</v>
      </c>
      <c r="S62" s="2" t="e">
        <f t="shared" si="22"/>
        <v>#VALUE!</v>
      </c>
      <c r="T62" s="2" t="e">
        <f t="shared" ca="1" si="9"/>
        <v>#VALUE!</v>
      </c>
      <c r="U62" s="2" t="e">
        <f t="shared" si="23"/>
        <v>#VALUE!</v>
      </c>
      <c r="V62" s="2" t="e">
        <f t="shared" si="10"/>
        <v>#VALUE!</v>
      </c>
      <c r="W62" s="2">
        <f t="shared" si="11"/>
        <v>477.4153</v>
      </c>
      <c r="X62" s="2" t="e">
        <f t="shared" ca="1" si="12"/>
        <v>#VALUE!</v>
      </c>
      <c r="Y62" s="2" t="e">
        <f t="shared" ca="1" si="13"/>
        <v>#VALUE!</v>
      </c>
      <c r="Z62" s="10">
        <f t="shared" si="14"/>
        <v>0.90198129819176076</v>
      </c>
      <c r="AA62" s="10" t="e">
        <f t="shared" ca="1" si="1"/>
        <v>#VALUE!</v>
      </c>
      <c r="AB62" s="11" t="e">
        <f t="shared" si="15"/>
        <v>#VALUE!</v>
      </c>
      <c r="AC62" s="11" t="e">
        <f>SUM($S$31:S62)/$V$31</f>
        <v>#VALUE!</v>
      </c>
      <c r="AD62" s="11" t="e">
        <f>SUM($S$31:S62,$R$31:R62,$T$31:T62)/$V$31</f>
        <v>#VALUE!</v>
      </c>
      <c r="AE62" s="11" t="e">
        <f>SUM($M$31:M62)/$V$31</f>
        <v>#VALUE!</v>
      </c>
      <c r="AF62" s="11" t="e">
        <f ca="1">SUM(SUM($M$31:M62),-SUM($T$31:T62))/$V$31</f>
        <v>#VALUE!</v>
      </c>
      <c r="AG62">
        <f t="shared" si="2"/>
        <v>992</v>
      </c>
    </row>
    <row r="63" spans="2:33" x14ac:dyDescent="0.15">
      <c r="B63" s="1">
        <f t="shared" si="16"/>
        <v>32</v>
      </c>
      <c r="C63" s="1">
        <f t="shared" si="3"/>
        <v>32</v>
      </c>
      <c r="D63" s="25">
        <v>8.4484490336543903E-3</v>
      </c>
      <c r="E63" s="2">
        <f t="shared" si="4"/>
        <v>95302.764915824853</v>
      </c>
      <c r="F63" s="3">
        <f t="shared" si="17"/>
        <v>0.04</v>
      </c>
      <c r="G63" s="2">
        <f t="shared" si="18"/>
        <v>477.4153</v>
      </c>
      <c r="H63" s="2">
        <f t="shared" si="19"/>
        <v>317.67588305274955</v>
      </c>
      <c r="I63" s="2">
        <f t="shared" si="20"/>
        <v>159.73941694725045</v>
      </c>
      <c r="J63" s="2">
        <f t="shared" si="5"/>
        <v>95143.0254988776</v>
      </c>
      <c r="K63" s="2" t="e">
        <f t="shared" si="24"/>
        <v>#VALUE!</v>
      </c>
      <c r="L63" s="9">
        <v>1.6821425527395739E-3</v>
      </c>
      <c r="M63" s="2" t="e">
        <f t="shared" si="6"/>
        <v>#VALUE!</v>
      </c>
      <c r="N63" s="3">
        <f t="shared" si="7"/>
        <v>0.04</v>
      </c>
      <c r="O63" s="2" t="e">
        <f t="shared" si="8"/>
        <v>#VALUE!</v>
      </c>
      <c r="P63" s="10">
        <f t="shared" si="0"/>
        <v>0.95143025498877598</v>
      </c>
      <c r="Q63" s="13"/>
      <c r="R63" s="2" t="e">
        <f t="shared" si="21"/>
        <v>#VALUE!</v>
      </c>
      <c r="S63" s="2" t="e">
        <f t="shared" si="22"/>
        <v>#VALUE!</v>
      </c>
      <c r="T63" s="2" t="e">
        <f t="shared" ca="1" si="9"/>
        <v>#VALUE!</v>
      </c>
      <c r="U63" s="2" t="e">
        <f t="shared" si="23"/>
        <v>#VALUE!</v>
      </c>
      <c r="V63" s="2" t="e">
        <f t="shared" si="10"/>
        <v>#VALUE!</v>
      </c>
      <c r="W63" s="2">
        <f t="shared" si="11"/>
        <v>477.4153</v>
      </c>
      <c r="X63" s="2" t="e">
        <f t="shared" ca="1" si="12"/>
        <v>#VALUE!</v>
      </c>
      <c r="Y63" s="2" t="e">
        <f t="shared" ca="1" si="13"/>
        <v>#VALUE!</v>
      </c>
      <c r="Z63" s="10">
        <f t="shared" si="14"/>
        <v>0.89898468258391684</v>
      </c>
      <c r="AA63" s="10" t="e">
        <f t="shared" ca="1" si="1"/>
        <v>#VALUE!</v>
      </c>
      <c r="AB63" s="11" t="e">
        <f t="shared" si="15"/>
        <v>#VALUE!</v>
      </c>
      <c r="AC63" s="11" t="e">
        <f>SUM($S$31:S63)/$V$31</f>
        <v>#VALUE!</v>
      </c>
      <c r="AD63" s="11" t="e">
        <f>SUM($S$31:S63,$R$31:R63,$T$31:T63)/$V$31</f>
        <v>#VALUE!</v>
      </c>
      <c r="AE63" s="11" t="e">
        <f>SUM($M$31:M63)/$V$31</f>
        <v>#VALUE!</v>
      </c>
      <c r="AF63" s="11" t="e">
        <f ca="1">SUM(SUM($M$31:M63),-SUM($T$31:T63))/$V$31</f>
        <v>#VALUE!</v>
      </c>
      <c r="AG63">
        <f t="shared" si="2"/>
        <v>1056</v>
      </c>
    </row>
    <row r="64" spans="2:33" x14ac:dyDescent="0.15">
      <c r="B64" s="1">
        <f t="shared" si="16"/>
        <v>33</v>
      </c>
      <c r="C64" s="1">
        <f t="shared" si="3"/>
        <v>33</v>
      </c>
      <c r="D64" s="25">
        <v>8.8346005021388598E-3</v>
      </c>
      <c r="E64" s="2">
        <f t="shared" si="4"/>
        <v>95143.0254988776</v>
      </c>
      <c r="F64" s="3">
        <f t="shared" si="17"/>
        <v>0.04</v>
      </c>
      <c r="G64" s="2">
        <f t="shared" si="18"/>
        <v>477.4153</v>
      </c>
      <c r="H64" s="2">
        <f t="shared" si="19"/>
        <v>317.14341832959201</v>
      </c>
      <c r="I64" s="2">
        <f t="shared" si="20"/>
        <v>160.27188167040799</v>
      </c>
      <c r="J64" s="2">
        <f t="shared" si="5"/>
        <v>94982.753617207185</v>
      </c>
      <c r="K64" s="2" t="e">
        <f t="shared" si="24"/>
        <v>#VALUE!</v>
      </c>
      <c r="L64" s="9">
        <v>1.6821425527395739E-3</v>
      </c>
      <c r="M64" s="2" t="e">
        <f t="shared" si="6"/>
        <v>#VALUE!</v>
      </c>
      <c r="N64" s="3">
        <f t="shared" si="7"/>
        <v>0.04</v>
      </c>
      <c r="O64" s="2" t="e">
        <f t="shared" si="8"/>
        <v>#VALUE!</v>
      </c>
      <c r="P64" s="10">
        <f t="shared" si="0"/>
        <v>0.94982753617207183</v>
      </c>
      <c r="Q64" s="13"/>
      <c r="R64" s="2" t="e">
        <f t="shared" si="21"/>
        <v>#VALUE!</v>
      </c>
      <c r="S64" s="2" t="e">
        <f t="shared" si="22"/>
        <v>#VALUE!</v>
      </c>
      <c r="T64" s="2" t="e">
        <f t="shared" ca="1" si="9"/>
        <v>#VALUE!</v>
      </c>
      <c r="U64" s="2" t="e">
        <f t="shared" si="23"/>
        <v>#VALUE!</v>
      </c>
      <c r="V64" s="2" t="e">
        <f t="shared" si="10"/>
        <v>#VALUE!</v>
      </c>
      <c r="W64" s="2">
        <f t="shared" si="11"/>
        <v>477.4153</v>
      </c>
      <c r="X64" s="2" t="e">
        <f t="shared" ca="1" si="12"/>
        <v>#VALUE!</v>
      </c>
      <c r="Y64" s="2" t="e">
        <f t="shared" ca="1" si="13"/>
        <v>#VALUE!</v>
      </c>
      <c r="Z64" s="10">
        <f t="shared" si="14"/>
        <v>0.89599802250965133</v>
      </c>
      <c r="AA64" s="10" t="e">
        <f t="shared" ca="1" si="1"/>
        <v>#VALUE!</v>
      </c>
      <c r="AB64" s="11" t="e">
        <f t="shared" si="15"/>
        <v>#VALUE!</v>
      </c>
      <c r="AC64" s="11" t="e">
        <f>SUM($S$31:S64)/$V$31</f>
        <v>#VALUE!</v>
      </c>
      <c r="AD64" s="11" t="e">
        <f>SUM($S$31:S64,$R$31:R64,$T$31:T64)/$V$31</f>
        <v>#VALUE!</v>
      </c>
      <c r="AE64" s="11" t="e">
        <f>SUM($M$31:M64)/$V$31</f>
        <v>#VALUE!</v>
      </c>
      <c r="AF64" s="11" t="e">
        <f ca="1">SUM(SUM($M$31:M64),-SUM($T$31:T64))/$V$31</f>
        <v>#VALUE!</v>
      </c>
      <c r="AG64">
        <f t="shared" si="2"/>
        <v>1122</v>
      </c>
    </row>
    <row r="65" spans="2:33" x14ac:dyDescent="0.15">
      <c r="B65" s="1">
        <f t="shared" si="16"/>
        <v>34</v>
      </c>
      <c r="C65" s="1">
        <f t="shared" si="3"/>
        <v>34</v>
      </c>
      <c r="D65" s="25">
        <v>9.2321936508445307E-3</v>
      </c>
      <c r="E65" s="2">
        <f t="shared" si="4"/>
        <v>94982.753617207185</v>
      </c>
      <c r="F65" s="3">
        <f t="shared" si="17"/>
        <v>0.04</v>
      </c>
      <c r="G65" s="2">
        <f t="shared" si="18"/>
        <v>477.4153</v>
      </c>
      <c r="H65" s="2">
        <f t="shared" si="19"/>
        <v>316.60917872402399</v>
      </c>
      <c r="I65" s="2">
        <f t="shared" si="20"/>
        <v>160.80612127597601</v>
      </c>
      <c r="J65" s="2">
        <f t="shared" si="5"/>
        <v>94821.947495931207</v>
      </c>
      <c r="K65" s="2" t="e">
        <f t="shared" si="24"/>
        <v>#VALUE!</v>
      </c>
      <c r="L65" s="9">
        <v>1.6821425527395739E-3</v>
      </c>
      <c r="M65" s="2" t="e">
        <f t="shared" si="6"/>
        <v>#VALUE!</v>
      </c>
      <c r="N65" s="3">
        <f t="shared" si="7"/>
        <v>0.04</v>
      </c>
      <c r="O65" s="2" t="e">
        <f t="shared" si="8"/>
        <v>#VALUE!</v>
      </c>
      <c r="P65" s="10">
        <f t="shared" si="0"/>
        <v>0.94821947495931203</v>
      </c>
      <c r="Q65" s="13"/>
      <c r="R65" s="2" t="e">
        <f t="shared" si="21"/>
        <v>#VALUE!</v>
      </c>
      <c r="S65" s="2" t="e">
        <f t="shared" si="22"/>
        <v>#VALUE!</v>
      </c>
      <c r="T65" s="2" t="e">
        <f t="shared" ca="1" si="9"/>
        <v>#VALUE!</v>
      </c>
      <c r="U65" s="2" t="e">
        <f t="shared" si="23"/>
        <v>#VALUE!</v>
      </c>
      <c r="V65" s="2" t="e">
        <f t="shared" si="10"/>
        <v>#VALUE!</v>
      </c>
      <c r="W65" s="2">
        <f t="shared" si="11"/>
        <v>477.4153</v>
      </c>
      <c r="X65" s="2" t="e">
        <f t="shared" ca="1" si="12"/>
        <v>#VALUE!</v>
      </c>
      <c r="Y65" s="2" t="e">
        <f t="shared" ca="1" si="13"/>
        <v>#VALUE!</v>
      </c>
      <c r="Z65" s="10">
        <f t="shared" si="14"/>
        <v>0.89302128489410182</v>
      </c>
      <c r="AA65" s="10" t="e">
        <f t="shared" ca="1" si="1"/>
        <v>#VALUE!</v>
      </c>
      <c r="AB65" s="11" t="e">
        <f t="shared" si="15"/>
        <v>#VALUE!</v>
      </c>
      <c r="AC65" s="11" t="e">
        <f>SUM($S$31:S65)/$V$31</f>
        <v>#VALUE!</v>
      </c>
      <c r="AD65" s="11" t="e">
        <f>SUM($S$31:S65,$R$31:R65,$T$31:T65)/$V$31</f>
        <v>#VALUE!</v>
      </c>
      <c r="AE65" s="11" t="e">
        <f>SUM($M$31:M65)/$V$31</f>
        <v>#VALUE!</v>
      </c>
      <c r="AF65" s="11" t="e">
        <f ca="1">SUM(SUM($M$31:M65),-SUM($T$31:T65))/$V$31</f>
        <v>#VALUE!</v>
      </c>
      <c r="AG65">
        <f t="shared" si="2"/>
        <v>1190</v>
      </c>
    </row>
    <row r="66" spans="2:33" x14ac:dyDescent="0.15">
      <c r="B66" s="1">
        <f t="shared" si="16"/>
        <v>35</v>
      </c>
      <c r="C66" s="1">
        <f t="shared" si="3"/>
        <v>35</v>
      </c>
      <c r="D66" s="25">
        <v>9.6412058353535605E-3</v>
      </c>
      <c r="E66" s="2">
        <f t="shared" si="4"/>
        <v>94821.947495931207</v>
      </c>
      <c r="F66" s="3">
        <f t="shared" si="17"/>
        <v>0.04</v>
      </c>
      <c r="G66" s="2">
        <f t="shared" si="18"/>
        <v>477.4153</v>
      </c>
      <c r="H66" s="2">
        <f t="shared" si="19"/>
        <v>316.0731583197707</v>
      </c>
      <c r="I66" s="2">
        <f t="shared" si="20"/>
        <v>161.3421416802293</v>
      </c>
      <c r="J66" s="2">
        <f t="shared" si="5"/>
        <v>94660.605354250976</v>
      </c>
      <c r="K66" s="2" t="e">
        <f t="shared" si="24"/>
        <v>#VALUE!</v>
      </c>
      <c r="L66" s="9">
        <v>1.6821425527395739E-3</v>
      </c>
      <c r="M66" s="2" t="e">
        <f t="shared" si="6"/>
        <v>#VALUE!</v>
      </c>
      <c r="N66" s="3">
        <f t="shared" si="7"/>
        <v>0.04</v>
      </c>
      <c r="O66" s="2" t="e">
        <f t="shared" si="8"/>
        <v>#VALUE!</v>
      </c>
      <c r="P66" s="10">
        <f t="shared" si="0"/>
        <v>0.94660605354250982</v>
      </c>
      <c r="Q66" s="13"/>
      <c r="R66" s="2" t="e">
        <f t="shared" si="21"/>
        <v>#VALUE!</v>
      </c>
      <c r="S66" s="2" t="e">
        <f t="shared" si="22"/>
        <v>#VALUE!</v>
      </c>
      <c r="T66" s="2" t="e">
        <f t="shared" ca="1" si="9"/>
        <v>#VALUE!</v>
      </c>
      <c r="U66" s="2" t="e">
        <f t="shared" si="23"/>
        <v>#VALUE!</v>
      </c>
      <c r="V66" s="2" t="e">
        <f t="shared" si="10"/>
        <v>#VALUE!</v>
      </c>
      <c r="W66" s="2">
        <f t="shared" si="11"/>
        <v>477.4153</v>
      </c>
      <c r="X66" s="2" t="e">
        <f t="shared" ca="1" si="12"/>
        <v>#VALUE!</v>
      </c>
      <c r="Y66" s="2" t="e">
        <f t="shared" ca="1" si="13"/>
        <v>#VALUE!</v>
      </c>
      <c r="Z66" s="10">
        <f t="shared" si="14"/>
        <v>0.89005443677228913</v>
      </c>
      <c r="AA66" s="10" t="e">
        <f t="shared" ca="1" si="1"/>
        <v>#VALUE!</v>
      </c>
      <c r="AB66" s="11" t="e">
        <f t="shared" si="15"/>
        <v>#VALUE!</v>
      </c>
      <c r="AC66" s="11" t="e">
        <f>SUM($S$31:S66)/$V$31</f>
        <v>#VALUE!</v>
      </c>
      <c r="AD66" s="11" t="e">
        <f>SUM($S$31:S66,$R$31:R66,$T$31:T66)/$V$31</f>
        <v>#VALUE!</v>
      </c>
      <c r="AE66" s="11" t="e">
        <f>SUM($M$31:M66)/$V$31</f>
        <v>#VALUE!</v>
      </c>
      <c r="AF66" s="11" t="e">
        <f ca="1">SUM(SUM($M$31:M66),-SUM($T$31:T66))/$V$31</f>
        <v>#VALUE!</v>
      </c>
      <c r="AG66">
        <f t="shared" si="2"/>
        <v>1260</v>
      </c>
    </row>
    <row r="67" spans="2:33" x14ac:dyDescent="0.15">
      <c r="B67" s="1">
        <f t="shared" si="16"/>
        <v>36</v>
      </c>
      <c r="C67" s="1">
        <f t="shared" si="3"/>
        <v>36</v>
      </c>
      <c r="D67" s="25">
        <v>1.0068628586481101E-2</v>
      </c>
      <c r="E67" s="2">
        <f t="shared" si="4"/>
        <v>94660.605354250976</v>
      </c>
      <c r="F67" s="3">
        <f t="shared" si="17"/>
        <v>0.04</v>
      </c>
      <c r="G67" s="2">
        <f t="shared" si="18"/>
        <v>477.4153</v>
      </c>
      <c r="H67" s="2">
        <f t="shared" si="19"/>
        <v>315.53535118083659</v>
      </c>
      <c r="I67" s="2">
        <f t="shared" si="20"/>
        <v>161.87994881916342</v>
      </c>
      <c r="J67" s="2">
        <f t="shared" si="5"/>
        <v>94498.725405431818</v>
      </c>
      <c r="K67" s="2" t="e">
        <f t="shared" si="24"/>
        <v>#VALUE!</v>
      </c>
      <c r="L67" s="9">
        <v>1.6821425527395739E-3</v>
      </c>
      <c r="M67" s="2" t="e">
        <f t="shared" si="6"/>
        <v>#VALUE!</v>
      </c>
      <c r="N67" s="3">
        <f t="shared" si="7"/>
        <v>0.04</v>
      </c>
      <c r="O67" s="2" t="e">
        <f t="shared" si="8"/>
        <v>#VALUE!</v>
      </c>
      <c r="P67" s="10">
        <f t="shared" si="0"/>
        <v>0.94498725405431816</v>
      </c>
      <c r="Q67" s="13"/>
      <c r="R67" s="2" t="e">
        <f t="shared" si="21"/>
        <v>#VALUE!</v>
      </c>
      <c r="S67" s="2" t="e">
        <f t="shared" si="22"/>
        <v>#VALUE!</v>
      </c>
      <c r="T67" s="2" t="e">
        <f t="shared" ca="1" si="9"/>
        <v>#VALUE!</v>
      </c>
      <c r="U67" s="2" t="e">
        <f t="shared" si="23"/>
        <v>#VALUE!</v>
      </c>
      <c r="V67" s="2" t="e">
        <f t="shared" si="10"/>
        <v>#VALUE!</v>
      </c>
      <c r="W67" s="2">
        <f t="shared" si="11"/>
        <v>477.4153</v>
      </c>
      <c r="X67" s="2" t="e">
        <f t="shared" ca="1" si="12"/>
        <v>#VALUE!</v>
      </c>
      <c r="Y67" s="2" t="e">
        <f t="shared" ca="1" si="13"/>
        <v>#VALUE!</v>
      </c>
      <c r="Z67" s="10">
        <f t="shared" si="14"/>
        <v>0.88709744528875245</v>
      </c>
      <c r="AA67" s="10" t="e">
        <f t="shared" ca="1" si="1"/>
        <v>#VALUE!</v>
      </c>
      <c r="AB67" s="11" t="e">
        <f t="shared" si="15"/>
        <v>#VALUE!</v>
      </c>
      <c r="AC67" s="11" t="e">
        <f>SUM($S$31:S67)/$V$31</f>
        <v>#VALUE!</v>
      </c>
      <c r="AD67" s="11" t="e">
        <f>SUM($S$31:S67,$R$31:R67,$T$31:T67)/$V$31</f>
        <v>#VALUE!</v>
      </c>
      <c r="AE67" s="11" t="e">
        <f>SUM($M$31:M67)/$V$31</f>
        <v>#VALUE!</v>
      </c>
      <c r="AF67" s="11" t="e">
        <f ca="1">SUM(SUM($M$31:M67),-SUM($T$31:T67))/$V$31</f>
        <v>#VALUE!</v>
      </c>
      <c r="AG67">
        <f t="shared" si="2"/>
        <v>1332</v>
      </c>
    </row>
    <row r="68" spans="2:33" x14ac:dyDescent="0.15">
      <c r="B68" s="1">
        <f t="shared" si="16"/>
        <v>37</v>
      </c>
      <c r="C68" s="1">
        <f t="shared" si="3"/>
        <v>37</v>
      </c>
      <c r="D68" s="25">
        <v>1.0493323233832601E-2</v>
      </c>
      <c r="E68" s="2">
        <f t="shared" si="4"/>
        <v>94498.725405431818</v>
      </c>
      <c r="F68" s="3">
        <f t="shared" si="17"/>
        <v>0.04</v>
      </c>
      <c r="G68" s="2">
        <f t="shared" si="18"/>
        <v>477.4153</v>
      </c>
      <c r="H68" s="2">
        <f t="shared" si="19"/>
        <v>314.99575135143942</v>
      </c>
      <c r="I68" s="2">
        <f t="shared" si="20"/>
        <v>162.41954864856058</v>
      </c>
      <c r="J68" s="2">
        <f t="shared" si="5"/>
        <v>94336.305856783263</v>
      </c>
      <c r="K68" s="2" t="e">
        <f t="shared" si="24"/>
        <v>#VALUE!</v>
      </c>
      <c r="L68" s="9">
        <v>1.6821425527395739E-3</v>
      </c>
      <c r="M68" s="2" t="e">
        <f t="shared" si="6"/>
        <v>#VALUE!</v>
      </c>
      <c r="N68" s="3">
        <f t="shared" si="7"/>
        <v>0.04</v>
      </c>
      <c r="O68" s="2" t="e">
        <f t="shared" si="8"/>
        <v>#VALUE!</v>
      </c>
      <c r="P68" s="10">
        <f t="shared" si="0"/>
        <v>0.94336305856783265</v>
      </c>
      <c r="Q68" s="13"/>
      <c r="R68" s="2" t="e">
        <f t="shared" si="21"/>
        <v>#VALUE!</v>
      </c>
      <c r="S68" s="2" t="e">
        <f t="shared" si="22"/>
        <v>#VALUE!</v>
      </c>
      <c r="T68" s="2" t="e">
        <f t="shared" ca="1" si="9"/>
        <v>#VALUE!</v>
      </c>
      <c r="U68" s="2" t="e">
        <f t="shared" si="23"/>
        <v>#VALUE!</v>
      </c>
      <c r="V68" s="2" t="e">
        <f t="shared" si="10"/>
        <v>#VALUE!</v>
      </c>
      <c r="W68" s="2">
        <f t="shared" si="11"/>
        <v>477.4153</v>
      </c>
      <c r="X68" s="2" t="e">
        <f t="shared" ca="1" si="12"/>
        <v>#VALUE!</v>
      </c>
      <c r="Y68" s="2" t="e">
        <f t="shared" ca="1" si="13"/>
        <v>#VALUE!</v>
      </c>
      <c r="Z68" s="10">
        <f t="shared" si="14"/>
        <v>0.88415027769718502</v>
      </c>
      <c r="AA68" s="10" t="e">
        <f t="shared" ca="1" si="1"/>
        <v>#VALUE!</v>
      </c>
      <c r="AB68" s="11" t="e">
        <f t="shared" si="15"/>
        <v>#VALUE!</v>
      </c>
      <c r="AC68" s="11" t="e">
        <f>SUM($S$31:S68)/$V$31</f>
        <v>#VALUE!</v>
      </c>
      <c r="AD68" s="11" t="e">
        <f>SUM($S$31:S68,$R$31:R68,$T$31:T68)/$V$31</f>
        <v>#VALUE!</v>
      </c>
      <c r="AE68" s="11" t="e">
        <f>SUM($M$31:M68)/$V$31</f>
        <v>#VALUE!</v>
      </c>
      <c r="AF68" s="11" t="e">
        <f ca="1">SUM(SUM($M$31:M68),-SUM($T$31:T68))/$V$31</f>
        <v>#VALUE!</v>
      </c>
      <c r="AG68">
        <f t="shared" si="2"/>
        <v>1406</v>
      </c>
    </row>
    <row r="69" spans="2:33" x14ac:dyDescent="0.15">
      <c r="B69" s="1">
        <f t="shared" si="16"/>
        <v>38</v>
      </c>
      <c r="C69" s="1">
        <f t="shared" si="3"/>
        <v>38</v>
      </c>
      <c r="D69" s="25">
        <v>1.09274625702542E-2</v>
      </c>
      <c r="E69" s="2">
        <f t="shared" si="4"/>
        <v>94336.305856783263</v>
      </c>
      <c r="F69" s="3">
        <f t="shared" si="17"/>
        <v>0.04</v>
      </c>
      <c r="G69" s="2">
        <f t="shared" si="18"/>
        <v>477.4153</v>
      </c>
      <c r="H69" s="2">
        <f t="shared" si="19"/>
        <v>314.45435285594425</v>
      </c>
      <c r="I69" s="2">
        <f t="shared" si="20"/>
        <v>162.96094714405575</v>
      </c>
      <c r="J69" s="2">
        <f t="shared" si="5"/>
        <v>94173.344909639214</v>
      </c>
      <c r="K69" s="2" t="e">
        <f t="shared" si="24"/>
        <v>#VALUE!</v>
      </c>
      <c r="L69" s="9">
        <v>1.6821425527395739E-3</v>
      </c>
      <c r="M69" s="2" t="e">
        <f t="shared" si="6"/>
        <v>#VALUE!</v>
      </c>
      <c r="N69" s="3">
        <f t="shared" si="7"/>
        <v>0.04</v>
      </c>
      <c r="O69" s="2" t="e">
        <f t="shared" si="8"/>
        <v>#VALUE!</v>
      </c>
      <c r="P69" s="10">
        <f t="shared" si="0"/>
        <v>0.94173344909639212</v>
      </c>
      <c r="Q69" s="13"/>
      <c r="R69" s="2" t="e">
        <f t="shared" si="21"/>
        <v>#VALUE!</v>
      </c>
      <c r="S69" s="2" t="e">
        <f t="shared" si="22"/>
        <v>#VALUE!</v>
      </c>
      <c r="T69" s="2" t="e">
        <f t="shared" ca="1" si="9"/>
        <v>#VALUE!</v>
      </c>
      <c r="U69" s="2" t="e">
        <f t="shared" si="23"/>
        <v>#VALUE!</v>
      </c>
      <c r="V69" s="2" t="e">
        <f t="shared" si="10"/>
        <v>#VALUE!</v>
      </c>
      <c r="W69" s="2">
        <f t="shared" si="11"/>
        <v>477.4153</v>
      </c>
      <c r="X69" s="2" t="e">
        <f t="shared" ca="1" si="12"/>
        <v>#VALUE!</v>
      </c>
      <c r="Y69" s="2" t="e">
        <f t="shared" ca="1" si="13"/>
        <v>#VALUE!</v>
      </c>
      <c r="Z69" s="10">
        <f t="shared" si="14"/>
        <v>0.88121290136007213</v>
      </c>
      <c r="AA69" s="10" t="e">
        <f t="shared" ca="1" si="1"/>
        <v>#VALUE!</v>
      </c>
      <c r="AB69" s="11" t="e">
        <f t="shared" si="15"/>
        <v>#VALUE!</v>
      </c>
      <c r="AC69" s="11" t="e">
        <f>SUM($S$31:S69)/$V$31</f>
        <v>#VALUE!</v>
      </c>
      <c r="AD69" s="11" t="e">
        <f>SUM($S$31:S69,$R$31:R69,$T$31:T69)/$V$31</f>
        <v>#VALUE!</v>
      </c>
      <c r="AE69" s="11" t="e">
        <f>SUM($M$31:M69)/$V$31</f>
        <v>#VALUE!</v>
      </c>
      <c r="AF69" s="11" t="e">
        <f ca="1">SUM(SUM($M$31:M69),-SUM($T$31:T69))/$V$31</f>
        <v>#VALUE!</v>
      </c>
      <c r="AG69">
        <f t="shared" si="2"/>
        <v>1482</v>
      </c>
    </row>
    <row r="70" spans="2:33" x14ac:dyDescent="0.15">
      <c r="B70" s="1">
        <f t="shared" si="16"/>
        <v>39</v>
      </c>
      <c r="C70" s="1">
        <f t="shared" si="3"/>
        <v>39</v>
      </c>
      <c r="D70" s="25">
        <v>1.13801050162001E-2</v>
      </c>
      <c r="E70" s="2">
        <f t="shared" si="4"/>
        <v>94173.344909639214</v>
      </c>
      <c r="F70" s="3">
        <f t="shared" si="17"/>
        <v>0.04</v>
      </c>
      <c r="G70" s="2">
        <f t="shared" si="18"/>
        <v>477.4153</v>
      </c>
      <c r="H70" s="2">
        <f t="shared" si="19"/>
        <v>313.91114969879737</v>
      </c>
      <c r="I70" s="2">
        <f t="shared" si="20"/>
        <v>163.50415030120263</v>
      </c>
      <c r="J70" s="2">
        <f t="shared" si="5"/>
        <v>94009.840759338011</v>
      </c>
      <c r="K70" s="2" t="e">
        <f t="shared" si="24"/>
        <v>#VALUE!</v>
      </c>
      <c r="L70" s="9">
        <v>1.6821425527395739E-3</v>
      </c>
      <c r="M70" s="2" t="e">
        <f t="shared" si="6"/>
        <v>#VALUE!</v>
      </c>
      <c r="N70" s="3">
        <f t="shared" si="7"/>
        <v>0.04</v>
      </c>
      <c r="O70" s="2" t="e">
        <f t="shared" si="8"/>
        <v>#VALUE!</v>
      </c>
      <c r="P70" s="10">
        <f t="shared" si="0"/>
        <v>0.94009840759338015</v>
      </c>
      <c r="Q70" s="13"/>
      <c r="R70" s="2" t="e">
        <f t="shared" si="21"/>
        <v>#VALUE!</v>
      </c>
      <c r="S70" s="2" t="e">
        <f t="shared" si="22"/>
        <v>#VALUE!</v>
      </c>
      <c r="T70" s="2" t="e">
        <f t="shared" ca="1" si="9"/>
        <v>#VALUE!</v>
      </c>
      <c r="U70" s="2" t="e">
        <f t="shared" si="23"/>
        <v>#VALUE!</v>
      </c>
      <c r="V70" s="2" t="e">
        <f t="shared" si="10"/>
        <v>#VALUE!</v>
      </c>
      <c r="W70" s="2">
        <f t="shared" si="11"/>
        <v>477.4153</v>
      </c>
      <c r="X70" s="2" t="e">
        <f t="shared" ca="1" si="12"/>
        <v>#VALUE!</v>
      </c>
      <c r="Y70" s="2" t="e">
        <f t="shared" ca="1" si="13"/>
        <v>#VALUE!</v>
      </c>
      <c r="Z70" s="10">
        <f t="shared" si="14"/>
        <v>0.87828528374832915</v>
      </c>
      <c r="AA70" s="10" t="e">
        <f t="shared" ca="1" si="1"/>
        <v>#VALUE!</v>
      </c>
      <c r="AB70" s="11" t="e">
        <f t="shared" si="15"/>
        <v>#VALUE!</v>
      </c>
      <c r="AC70" s="11" t="e">
        <f>SUM($S$31:S70)/$V$31</f>
        <v>#VALUE!</v>
      </c>
      <c r="AD70" s="11" t="e">
        <f>SUM($S$31:S70,$R$31:R70,$T$31:T70)/$V$31</f>
        <v>#VALUE!</v>
      </c>
      <c r="AE70" s="11" t="e">
        <f>SUM($M$31:M70)/$V$31</f>
        <v>#VALUE!</v>
      </c>
      <c r="AF70" s="11" t="e">
        <f ca="1">SUM(SUM($M$31:M70),-SUM($T$31:T70))/$V$31</f>
        <v>#VALUE!</v>
      </c>
      <c r="AG70">
        <f t="shared" si="2"/>
        <v>1560</v>
      </c>
    </row>
    <row r="71" spans="2:33" x14ac:dyDescent="0.15">
      <c r="B71" s="1">
        <f t="shared" si="16"/>
        <v>40</v>
      </c>
      <c r="C71" s="1">
        <f t="shared" si="3"/>
        <v>40</v>
      </c>
      <c r="D71" s="25">
        <v>1.18445478134547E-2</v>
      </c>
      <c r="E71" s="2">
        <f t="shared" si="4"/>
        <v>94009.840759338011</v>
      </c>
      <c r="F71" s="3">
        <f t="shared" si="17"/>
        <v>0.04</v>
      </c>
      <c r="G71" s="2">
        <f t="shared" si="18"/>
        <v>477.4153</v>
      </c>
      <c r="H71" s="2">
        <f t="shared" si="19"/>
        <v>313.36613586446003</v>
      </c>
      <c r="I71" s="2">
        <f t="shared" si="20"/>
        <v>164.04916413553997</v>
      </c>
      <c r="J71" s="2">
        <f t="shared" si="5"/>
        <v>93845.791595202478</v>
      </c>
      <c r="K71" s="2" t="e">
        <f t="shared" si="24"/>
        <v>#VALUE!</v>
      </c>
      <c r="L71" s="9">
        <v>1.6821425527395739E-3</v>
      </c>
      <c r="M71" s="2" t="e">
        <f t="shared" si="6"/>
        <v>#VALUE!</v>
      </c>
      <c r="N71" s="3">
        <f t="shared" si="7"/>
        <v>0.04</v>
      </c>
      <c r="O71" s="2" t="e">
        <f t="shared" si="8"/>
        <v>#VALUE!</v>
      </c>
      <c r="P71" s="10">
        <f t="shared" si="0"/>
        <v>0.93845791595202477</v>
      </c>
      <c r="Q71" s="13"/>
      <c r="R71" s="2" t="e">
        <f t="shared" si="21"/>
        <v>#VALUE!</v>
      </c>
      <c r="S71" s="2" t="e">
        <f t="shared" si="22"/>
        <v>#VALUE!</v>
      </c>
      <c r="T71" s="2" t="e">
        <f t="shared" ca="1" si="9"/>
        <v>#VALUE!</v>
      </c>
      <c r="U71" s="2" t="e">
        <f t="shared" si="23"/>
        <v>#VALUE!</v>
      </c>
      <c r="V71" s="2" t="e">
        <f t="shared" si="10"/>
        <v>#VALUE!</v>
      </c>
      <c r="W71" s="2">
        <f t="shared" si="11"/>
        <v>477.4153</v>
      </c>
      <c r="X71" s="2" t="e">
        <f t="shared" ca="1" si="12"/>
        <v>#VALUE!</v>
      </c>
      <c r="Y71" s="2" t="e">
        <f t="shared" ca="1" si="13"/>
        <v>#VALUE!</v>
      </c>
      <c r="Z71" s="10">
        <f t="shared" si="14"/>
        <v>0.87536739244094175</v>
      </c>
      <c r="AA71" s="10" t="e">
        <f t="shared" ca="1" si="1"/>
        <v>#VALUE!</v>
      </c>
      <c r="AB71" s="11" t="e">
        <f t="shared" si="15"/>
        <v>#VALUE!</v>
      </c>
      <c r="AC71" s="11" t="e">
        <f>SUM($S$31:S71)/$V$31</f>
        <v>#VALUE!</v>
      </c>
      <c r="AD71" s="11" t="e">
        <f>SUM($S$31:S71,$R$31:R71,$T$31:T71)/$V$31</f>
        <v>#VALUE!</v>
      </c>
      <c r="AE71" s="11" t="e">
        <f>SUM($M$31:M71)/$V$31</f>
        <v>#VALUE!</v>
      </c>
      <c r="AF71" s="11" t="e">
        <f ca="1">SUM(SUM($M$31:M71),-SUM($T$31:T71))/$V$31</f>
        <v>#VALUE!</v>
      </c>
      <c r="AG71">
        <f t="shared" si="2"/>
        <v>1640</v>
      </c>
    </row>
    <row r="72" spans="2:33" x14ac:dyDescent="0.15">
      <c r="B72" s="1">
        <f t="shared" si="16"/>
        <v>41</v>
      </c>
      <c r="C72" s="1">
        <f t="shared" si="3"/>
        <v>41</v>
      </c>
      <c r="D72" s="25">
        <v>1.2320367841176101E-2</v>
      </c>
      <c r="E72" s="2">
        <f t="shared" si="4"/>
        <v>93845.791595202478</v>
      </c>
      <c r="F72" s="3">
        <f t="shared" si="17"/>
        <v>0.04</v>
      </c>
      <c r="G72" s="2">
        <f t="shared" si="18"/>
        <v>477.4153</v>
      </c>
      <c r="H72" s="2">
        <f t="shared" si="19"/>
        <v>312.81930531734162</v>
      </c>
      <c r="I72" s="2">
        <f t="shared" si="20"/>
        <v>164.59599468265839</v>
      </c>
      <c r="J72" s="2">
        <f t="shared" si="5"/>
        <v>93681.195600519815</v>
      </c>
      <c r="K72" s="2" t="e">
        <f t="shared" si="24"/>
        <v>#VALUE!</v>
      </c>
      <c r="L72" s="9">
        <v>1.6821425527395739E-3</v>
      </c>
      <c r="M72" s="2" t="e">
        <f t="shared" si="6"/>
        <v>#VALUE!</v>
      </c>
      <c r="N72" s="3">
        <f t="shared" si="7"/>
        <v>0.04</v>
      </c>
      <c r="O72" s="2" t="e">
        <f t="shared" si="8"/>
        <v>#VALUE!</v>
      </c>
      <c r="P72" s="10">
        <f t="shared" si="0"/>
        <v>0.93681195600519818</v>
      </c>
      <c r="Q72" s="13"/>
      <c r="R72" s="2" t="e">
        <f t="shared" si="21"/>
        <v>#VALUE!</v>
      </c>
      <c r="S72" s="2" t="e">
        <f t="shared" si="22"/>
        <v>#VALUE!</v>
      </c>
      <c r="T72" s="2" t="e">
        <f t="shared" ca="1" si="9"/>
        <v>#VALUE!</v>
      </c>
      <c r="U72" s="2" t="e">
        <f t="shared" si="23"/>
        <v>#VALUE!</v>
      </c>
      <c r="V72" s="2" t="e">
        <f t="shared" si="10"/>
        <v>#VALUE!</v>
      </c>
      <c r="W72" s="2">
        <f t="shared" si="11"/>
        <v>477.4153</v>
      </c>
      <c r="X72" s="2" t="e">
        <f t="shared" ca="1" si="12"/>
        <v>#VALUE!</v>
      </c>
      <c r="Y72" s="2" t="e">
        <f t="shared" ca="1" si="13"/>
        <v>#VALUE!</v>
      </c>
      <c r="Z72" s="10">
        <f t="shared" si="14"/>
        <v>0.87245919512460646</v>
      </c>
      <c r="AA72" s="10" t="e">
        <f t="shared" ca="1" si="1"/>
        <v>#VALUE!</v>
      </c>
      <c r="AB72" s="11" t="e">
        <f t="shared" si="15"/>
        <v>#VALUE!</v>
      </c>
      <c r="AC72" s="11" t="e">
        <f>SUM($S$31:S72)/$V$31</f>
        <v>#VALUE!</v>
      </c>
      <c r="AD72" s="11" t="e">
        <f>SUM($S$31:S72,$R$31:R72,$T$31:T72)/$V$31</f>
        <v>#VALUE!</v>
      </c>
      <c r="AE72" s="11" t="e">
        <f>SUM($M$31:M72)/$V$31</f>
        <v>#VALUE!</v>
      </c>
      <c r="AF72" s="11" t="e">
        <f ca="1">SUM(SUM($M$31:M72),-SUM($T$31:T72))/$V$31</f>
        <v>#VALUE!</v>
      </c>
      <c r="AG72">
        <f t="shared" si="2"/>
        <v>1722</v>
      </c>
    </row>
    <row r="73" spans="2:33" x14ac:dyDescent="0.15">
      <c r="B73" s="1">
        <f t="shared" si="16"/>
        <v>42</v>
      </c>
      <c r="C73" s="1">
        <f t="shared" si="3"/>
        <v>42</v>
      </c>
      <c r="D73" s="25">
        <v>1.28080546399191E-2</v>
      </c>
      <c r="E73" s="2">
        <f t="shared" si="4"/>
        <v>93681.195600519815</v>
      </c>
      <c r="F73" s="3">
        <f t="shared" si="17"/>
        <v>0.04</v>
      </c>
      <c r="G73" s="2">
        <f t="shared" si="18"/>
        <v>477.4153</v>
      </c>
      <c r="H73" s="2">
        <f t="shared" si="19"/>
        <v>312.27065200173274</v>
      </c>
      <c r="I73" s="2">
        <f t="shared" si="20"/>
        <v>165.14464799826726</v>
      </c>
      <c r="J73" s="2">
        <f t="shared" si="5"/>
        <v>93516.050952521546</v>
      </c>
      <c r="K73" s="2" t="e">
        <f t="shared" si="24"/>
        <v>#VALUE!</v>
      </c>
      <c r="L73" s="9">
        <v>1.6821425527395739E-3</v>
      </c>
      <c r="M73" s="2" t="e">
        <f t="shared" si="6"/>
        <v>#VALUE!</v>
      </c>
      <c r="N73" s="3">
        <f t="shared" si="7"/>
        <v>0.04</v>
      </c>
      <c r="O73" s="2" t="e">
        <f t="shared" si="8"/>
        <v>#VALUE!</v>
      </c>
      <c r="P73" s="10">
        <f t="shared" si="0"/>
        <v>0.93516050952521546</v>
      </c>
      <c r="Q73" s="13"/>
      <c r="R73" s="2" t="e">
        <f t="shared" si="21"/>
        <v>#VALUE!</v>
      </c>
      <c r="S73" s="2" t="e">
        <f t="shared" si="22"/>
        <v>#VALUE!</v>
      </c>
      <c r="T73" s="2" t="e">
        <f t="shared" ca="1" si="9"/>
        <v>#VALUE!</v>
      </c>
      <c r="U73" s="2" t="e">
        <f t="shared" si="23"/>
        <v>#VALUE!</v>
      </c>
      <c r="V73" s="2" t="e">
        <f t="shared" si="10"/>
        <v>#VALUE!</v>
      </c>
      <c r="W73" s="2">
        <f t="shared" si="11"/>
        <v>477.4153</v>
      </c>
      <c r="X73" s="2" t="e">
        <f t="shared" ca="1" si="12"/>
        <v>#VALUE!</v>
      </c>
      <c r="Y73" s="2" t="e">
        <f t="shared" ca="1" si="13"/>
        <v>#VALUE!</v>
      </c>
      <c r="Z73" s="10">
        <f t="shared" si="14"/>
        <v>0.86956065959337236</v>
      </c>
      <c r="AA73" s="10" t="e">
        <f t="shared" ca="1" si="1"/>
        <v>#VALUE!</v>
      </c>
      <c r="AB73" s="11" t="e">
        <f t="shared" si="15"/>
        <v>#VALUE!</v>
      </c>
      <c r="AC73" s="11" t="e">
        <f>SUM($S$31:S73)/$V$31</f>
        <v>#VALUE!</v>
      </c>
      <c r="AD73" s="11" t="e">
        <f>SUM($S$31:S73,$R$31:R73,$T$31:T73)/$V$31</f>
        <v>#VALUE!</v>
      </c>
      <c r="AE73" s="11" t="e">
        <f>SUM($M$31:M73)/$V$31</f>
        <v>#VALUE!</v>
      </c>
      <c r="AF73" s="11" t="e">
        <f ca="1">SUM(SUM($M$31:M73),-SUM($T$31:T73))/$V$31</f>
        <v>#VALUE!</v>
      </c>
      <c r="AG73">
        <f t="shared" si="2"/>
        <v>1806</v>
      </c>
    </row>
    <row r="74" spans="2:33" x14ac:dyDescent="0.15">
      <c r="B74" s="1">
        <f t="shared" si="16"/>
        <v>43</v>
      </c>
      <c r="C74" s="1">
        <f t="shared" si="3"/>
        <v>43</v>
      </c>
      <c r="D74" s="25">
        <v>1.3315499419054499E-2</v>
      </c>
      <c r="E74" s="2">
        <f t="shared" si="4"/>
        <v>93516.050952521546</v>
      </c>
      <c r="F74" s="3">
        <f t="shared" si="17"/>
        <v>0.04</v>
      </c>
      <c r="G74" s="2">
        <f t="shared" si="18"/>
        <v>477.4153</v>
      </c>
      <c r="H74" s="2">
        <f t="shared" si="19"/>
        <v>311.72016984173848</v>
      </c>
      <c r="I74" s="2">
        <f t="shared" si="20"/>
        <v>165.69513015826152</v>
      </c>
      <c r="J74" s="2">
        <f t="shared" si="5"/>
        <v>93350.355822363286</v>
      </c>
      <c r="K74" s="2" t="e">
        <f t="shared" si="24"/>
        <v>#VALUE!</v>
      </c>
      <c r="L74" s="9">
        <v>1.6821425527395739E-3</v>
      </c>
      <c r="M74" s="2" t="e">
        <f t="shared" si="6"/>
        <v>#VALUE!</v>
      </c>
      <c r="N74" s="3">
        <f t="shared" si="7"/>
        <v>0.04</v>
      </c>
      <c r="O74" s="2" t="e">
        <f t="shared" si="8"/>
        <v>#VALUE!</v>
      </c>
      <c r="P74" s="10">
        <f t="shared" si="0"/>
        <v>0.93350355822363285</v>
      </c>
      <c r="Q74" s="13"/>
      <c r="R74" s="2" t="e">
        <f t="shared" si="21"/>
        <v>#VALUE!</v>
      </c>
      <c r="S74" s="2" t="e">
        <f t="shared" si="22"/>
        <v>#VALUE!</v>
      </c>
      <c r="T74" s="2" t="e">
        <f t="shared" ca="1" si="9"/>
        <v>#VALUE!</v>
      </c>
      <c r="U74" s="2" t="e">
        <f t="shared" si="23"/>
        <v>#VALUE!</v>
      </c>
      <c r="V74" s="2" t="e">
        <f t="shared" si="10"/>
        <v>#VALUE!</v>
      </c>
      <c r="W74" s="2">
        <f t="shared" si="11"/>
        <v>477.4153</v>
      </c>
      <c r="X74" s="2" t="e">
        <f t="shared" ca="1" si="12"/>
        <v>#VALUE!</v>
      </c>
      <c r="Y74" s="2" t="e">
        <f t="shared" ca="1" si="13"/>
        <v>#VALUE!</v>
      </c>
      <c r="Z74" s="10">
        <f t="shared" si="14"/>
        <v>0.86667175374828653</v>
      </c>
      <c r="AA74" s="10" t="e">
        <f t="shared" ca="1" si="1"/>
        <v>#VALUE!</v>
      </c>
      <c r="AB74" s="11" t="e">
        <f t="shared" si="15"/>
        <v>#VALUE!</v>
      </c>
      <c r="AC74" s="11" t="e">
        <f>SUM($S$31:S74)/$V$31</f>
        <v>#VALUE!</v>
      </c>
      <c r="AD74" s="11" t="e">
        <f>SUM($S$31:S74,$R$31:R74,$T$31:T74)/$V$31</f>
        <v>#VALUE!</v>
      </c>
      <c r="AE74" s="11" t="e">
        <f>SUM($M$31:M74)/$V$31</f>
        <v>#VALUE!</v>
      </c>
      <c r="AF74" s="11" t="e">
        <f ca="1">SUM(SUM($M$31:M74),-SUM($T$31:T74))/$V$31</f>
        <v>#VALUE!</v>
      </c>
      <c r="AG74">
        <f t="shared" si="2"/>
        <v>1892</v>
      </c>
    </row>
    <row r="75" spans="2:33" x14ac:dyDescent="0.15">
      <c r="B75" s="1">
        <f t="shared" si="16"/>
        <v>44</v>
      </c>
      <c r="C75" s="1">
        <f t="shared" si="3"/>
        <v>44</v>
      </c>
      <c r="D75" s="25">
        <v>1.3826278510218899E-2</v>
      </c>
      <c r="E75" s="2">
        <f t="shared" si="4"/>
        <v>93350.355822363286</v>
      </c>
      <c r="F75" s="3">
        <f t="shared" si="17"/>
        <v>0.04</v>
      </c>
      <c r="G75" s="2">
        <f t="shared" si="18"/>
        <v>477.4153</v>
      </c>
      <c r="H75" s="2">
        <f t="shared" si="19"/>
        <v>311.16785274121099</v>
      </c>
      <c r="I75" s="2">
        <f t="shared" si="20"/>
        <v>166.24744725878901</v>
      </c>
      <c r="J75" s="2">
        <f t="shared" si="5"/>
        <v>93184.108375104493</v>
      </c>
      <c r="K75" s="2" t="e">
        <f t="shared" si="24"/>
        <v>#VALUE!</v>
      </c>
      <c r="L75" s="9">
        <v>1.6821425527395739E-3</v>
      </c>
      <c r="M75" s="2" t="e">
        <f t="shared" si="6"/>
        <v>#VALUE!</v>
      </c>
      <c r="N75" s="3">
        <f t="shared" si="7"/>
        <v>0.04</v>
      </c>
      <c r="O75" s="2" t="e">
        <f t="shared" si="8"/>
        <v>#VALUE!</v>
      </c>
      <c r="P75" s="10">
        <f t="shared" si="0"/>
        <v>0.93184108375104491</v>
      </c>
      <c r="Q75" s="13"/>
      <c r="R75" s="2" t="e">
        <f t="shared" si="21"/>
        <v>#VALUE!</v>
      </c>
      <c r="S75" s="2" t="e">
        <f t="shared" si="22"/>
        <v>#VALUE!</v>
      </c>
      <c r="T75" s="2" t="e">
        <f t="shared" ca="1" si="9"/>
        <v>#VALUE!</v>
      </c>
      <c r="U75" s="2" t="e">
        <f t="shared" si="23"/>
        <v>#VALUE!</v>
      </c>
      <c r="V75" s="2" t="e">
        <f t="shared" si="10"/>
        <v>#VALUE!</v>
      </c>
      <c r="W75" s="2">
        <f t="shared" si="11"/>
        <v>477.4153</v>
      </c>
      <c r="X75" s="2" t="e">
        <f t="shared" ca="1" si="12"/>
        <v>#VALUE!</v>
      </c>
      <c r="Y75" s="2" t="e">
        <f t="shared" ca="1" si="13"/>
        <v>#VALUE!</v>
      </c>
      <c r="Z75" s="10">
        <f t="shared" si="14"/>
        <v>0.8637924455970355</v>
      </c>
      <c r="AA75" s="10" t="e">
        <f t="shared" ca="1" si="1"/>
        <v>#VALUE!</v>
      </c>
      <c r="AB75" s="11" t="e">
        <f t="shared" si="15"/>
        <v>#VALUE!</v>
      </c>
      <c r="AC75" s="11" t="e">
        <f>SUM($S$31:S75)/$V$31</f>
        <v>#VALUE!</v>
      </c>
      <c r="AD75" s="11" t="e">
        <f>SUM($S$31:S75,$R$31:R75,$T$31:T75)/$V$31</f>
        <v>#VALUE!</v>
      </c>
      <c r="AE75" s="11" t="e">
        <f>SUM($M$31:M75)/$V$31</f>
        <v>#VALUE!</v>
      </c>
      <c r="AF75" s="11" t="e">
        <f ca="1">SUM(SUM($M$31:M75),-SUM($T$31:T75))/$V$31</f>
        <v>#VALUE!</v>
      </c>
      <c r="AG75">
        <f t="shared" si="2"/>
        <v>1980</v>
      </c>
    </row>
    <row r="76" spans="2:33" x14ac:dyDescent="0.15">
      <c r="B76" s="1">
        <f t="shared" si="16"/>
        <v>45</v>
      </c>
      <c r="C76" s="1">
        <f t="shared" si="3"/>
        <v>45</v>
      </c>
      <c r="D76" s="25">
        <v>1.4349040749422498E-2</v>
      </c>
      <c r="E76" s="2">
        <f t="shared" si="4"/>
        <v>93184.108375104493</v>
      </c>
      <c r="F76" s="3">
        <f t="shared" si="17"/>
        <v>0.04</v>
      </c>
      <c r="G76" s="2">
        <f t="shared" si="18"/>
        <v>477.4153</v>
      </c>
      <c r="H76" s="2">
        <f t="shared" si="19"/>
        <v>310.61369458368165</v>
      </c>
      <c r="I76" s="2">
        <f t="shared" si="20"/>
        <v>166.80160541631835</v>
      </c>
      <c r="J76" s="2">
        <f t="shared" si="5"/>
        <v>93017.306769688177</v>
      </c>
      <c r="K76" s="2" t="e">
        <f t="shared" si="24"/>
        <v>#VALUE!</v>
      </c>
      <c r="L76" s="9">
        <v>1.6821425527395739E-3</v>
      </c>
      <c r="M76" s="2" t="e">
        <f t="shared" si="6"/>
        <v>#VALUE!</v>
      </c>
      <c r="N76" s="3">
        <f t="shared" si="7"/>
        <v>0.04</v>
      </c>
      <c r="O76" s="2" t="e">
        <f t="shared" si="8"/>
        <v>#VALUE!</v>
      </c>
      <c r="P76" s="10">
        <f t="shared" si="0"/>
        <v>0.93017306769688179</v>
      </c>
      <c r="Q76" s="13"/>
      <c r="R76" s="2" t="e">
        <f t="shared" si="21"/>
        <v>#VALUE!</v>
      </c>
      <c r="S76" s="2" t="e">
        <f t="shared" si="22"/>
        <v>#VALUE!</v>
      </c>
      <c r="T76" s="2" t="e">
        <f t="shared" ca="1" si="9"/>
        <v>#VALUE!</v>
      </c>
      <c r="U76" s="2" t="e">
        <f t="shared" si="23"/>
        <v>#VALUE!</v>
      </c>
      <c r="V76" s="2" t="e">
        <f t="shared" si="10"/>
        <v>#VALUE!</v>
      </c>
      <c r="W76" s="2">
        <f t="shared" si="11"/>
        <v>477.4153</v>
      </c>
      <c r="X76" s="2" t="e">
        <f t="shared" ca="1" si="12"/>
        <v>#VALUE!</v>
      </c>
      <c r="Y76" s="2" t="e">
        <f t="shared" ca="1" si="13"/>
        <v>#VALUE!</v>
      </c>
      <c r="Z76" s="10">
        <f t="shared" si="14"/>
        <v>0.86092270325359355</v>
      </c>
      <c r="AA76" s="10" t="e">
        <f t="shared" ca="1" si="1"/>
        <v>#VALUE!</v>
      </c>
      <c r="AB76" s="11" t="e">
        <f t="shared" si="15"/>
        <v>#VALUE!</v>
      </c>
      <c r="AC76" s="11" t="e">
        <f>SUM($S$31:S76)/$V$31</f>
        <v>#VALUE!</v>
      </c>
      <c r="AD76" s="11" t="e">
        <f>SUM($S$31:S76,$R$31:R76,$T$31:T76)/$V$31</f>
        <v>#VALUE!</v>
      </c>
      <c r="AE76" s="11" t="e">
        <f>SUM($M$31:M76)/$V$31</f>
        <v>#VALUE!</v>
      </c>
      <c r="AF76" s="11" t="e">
        <f ca="1">SUM(SUM($M$31:M76),-SUM($T$31:T76))/$V$31</f>
        <v>#VALUE!</v>
      </c>
      <c r="AG76">
        <f t="shared" si="2"/>
        <v>2070</v>
      </c>
    </row>
    <row r="77" spans="2:33" x14ac:dyDescent="0.15">
      <c r="B77" s="1">
        <f t="shared" si="16"/>
        <v>46</v>
      </c>
      <c r="C77" s="1">
        <f t="shared" si="3"/>
        <v>46</v>
      </c>
      <c r="D77" s="25">
        <v>1.48830008676001E-2</v>
      </c>
      <c r="E77" s="2">
        <f t="shared" si="4"/>
        <v>93017.306769688177</v>
      </c>
      <c r="F77" s="3">
        <f t="shared" si="17"/>
        <v>0.04</v>
      </c>
      <c r="G77" s="2">
        <f t="shared" si="18"/>
        <v>477.4153</v>
      </c>
      <c r="H77" s="2">
        <f t="shared" si="19"/>
        <v>310.05768923229397</v>
      </c>
      <c r="I77" s="2">
        <f t="shared" si="20"/>
        <v>167.35761076770603</v>
      </c>
      <c r="J77" s="2">
        <f t="shared" si="5"/>
        <v>92849.94915892047</v>
      </c>
      <c r="K77" s="2" t="e">
        <f t="shared" si="24"/>
        <v>#VALUE!</v>
      </c>
      <c r="L77" s="9">
        <v>1.6821425527395739E-3</v>
      </c>
      <c r="M77" s="2" t="e">
        <f t="shared" si="6"/>
        <v>#VALUE!</v>
      </c>
      <c r="N77" s="3">
        <f t="shared" si="7"/>
        <v>0.04</v>
      </c>
      <c r="O77" s="2" t="e">
        <f t="shared" si="8"/>
        <v>#VALUE!</v>
      </c>
      <c r="P77" s="10">
        <f t="shared" si="0"/>
        <v>0.92849949158920475</v>
      </c>
      <c r="Q77" s="13"/>
      <c r="R77" s="2" t="e">
        <f t="shared" si="21"/>
        <v>#VALUE!</v>
      </c>
      <c r="S77" s="2" t="e">
        <f t="shared" si="22"/>
        <v>#VALUE!</v>
      </c>
      <c r="T77" s="2" t="e">
        <f t="shared" ca="1" si="9"/>
        <v>#VALUE!</v>
      </c>
      <c r="U77" s="2" t="e">
        <f t="shared" si="23"/>
        <v>#VALUE!</v>
      </c>
      <c r="V77" s="2" t="e">
        <f t="shared" si="10"/>
        <v>#VALUE!</v>
      </c>
      <c r="W77" s="2">
        <f t="shared" si="11"/>
        <v>477.4153</v>
      </c>
      <c r="X77" s="2" t="e">
        <f t="shared" ca="1" si="12"/>
        <v>#VALUE!</v>
      </c>
      <c r="Y77" s="2" t="e">
        <f t="shared" ca="1" si="13"/>
        <v>#VALUE!</v>
      </c>
      <c r="Z77" s="10">
        <f t="shared" si="14"/>
        <v>0.85806249493786801</v>
      </c>
      <c r="AA77" s="10" t="e">
        <f t="shared" ca="1" si="1"/>
        <v>#VALUE!</v>
      </c>
      <c r="AB77" s="11" t="e">
        <f t="shared" si="15"/>
        <v>#VALUE!</v>
      </c>
      <c r="AC77" s="11" t="e">
        <f>SUM($S$31:S77)/$V$31</f>
        <v>#VALUE!</v>
      </c>
      <c r="AD77" s="11" t="e">
        <f>SUM($S$31:S77,$R$31:R77,$T$31:T77)/$V$31</f>
        <v>#VALUE!</v>
      </c>
      <c r="AE77" s="11" t="e">
        <f>SUM($M$31:M77)/$V$31</f>
        <v>#VALUE!</v>
      </c>
      <c r="AF77" s="11" t="e">
        <f ca="1">SUM(SUM($M$31:M77),-SUM($T$31:T77))/$V$31</f>
        <v>#VALUE!</v>
      </c>
      <c r="AG77">
        <f t="shared" si="2"/>
        <v>2162</v>
      </c>
    </row>
    <row r="78" spans="2:33" x14ac:dyDescent="0.15">
      <c r="B78" s="1">
        <f t="shared" si="16"/>
        <v>47</v>
      </c>
      <c r="C78" s="1">
        <f t="shared" si="3"/>
        <v>47</v>
      </c>
      <c r="D78" s="25">
        <v>1.54290331546266E-2</v>
      </c>
      <c r="E78" s="2">
        <f t="shared" si="4"/>
        <v>92849.94915892047</v>
      </c>
      <c r="F78" s="3">
        <f t="shared" si="17"/>
        <v>0.04</v>
      </c>
      <c r="G78" s="2">
        <f t="shared" si="18"/>
        <v>477.4153</v>
      </c>
      <c r="H78" s="2">
        <f t="shared" si="19"/>
        <v>309.49983052973494</v>
      </c>
      <c r="I78" s="2">
        <f t="shared" si="20"/>
        <v>167.91546947026507</v>
      </c>
      <c r="J78" s="2">
        <f t="shared" si="5"/>
        <v>92682.033689450211</v>
      </c>
      <c r="K78" s="2" t="e">
        <f t="shared" si="24"/>
        <v>#VALUE!</v>
      </c>
      <c r="L78" s="9">
        <v>1.6821425527395739E-3</v>
      </c>
      <c r="M78" s="2" t="e">
        <f t="shared" si="6"/>
        <v>#VALUE!</v>
      </c>
      <c r="N78" s="3">
        <f t="shared" si="7"/>
        <v>0.04</v>
      </c>
      <c r="O78" s="2" t="e">
        <f t="shared" si="8"/>
        <v>#VALUE!</v>
      </c>
      <c r="P78" s="10">
        <f t="shared" si="0"/>
        <v>0.92682033689450216</v>
      </c>
      <c r="Q78" s="13"/>
      <c r="R78" s="2" t="e">
        <f t="shared" si="21"/>
        <v>#VALUE!</v>
      </c>
      <c r="S78" s="2" t="e">
        <f t="shared" si="22"/>
        <v>#VALUE!</v>
      </c>
      <c r="T78" s="2" t="e">
        <f t="shared" ca="1" si="9"/>
        <v>#VALUE!</v>
      </c>
      <c r="U78" s="2" t="e">
        <f t="shared" si="23"/>
        <v>#VALUE!</v>
      </c>
      <c r="V78" s="2" t="e">
        <f t="shared" si="10"/>
        <v>#VALUE!</v>
      </c>
      <c r="W78" s="2">
        <f t="shared" si="11"/>
        <v>477.4153</v>
      </c>
      <c r="X78" s="2" t="e">
        <f t="shared" ca="1" si="12"/>
        <v>#VALUE!</v>
      </c>
      <c r="Y78" s="2" t="e">
        <f t="shared" ca="1" si="13"/>
        <v>#VALUE!</v>
      </c>
      <c r="Z78" s="10">
        <f t="shared" si="14"/>
        <v>0.85521178897534877</v>
      </c>
      <c r="AA78" s="10" t="e">
        <f t="shared" ca="1" si="1"/>
        <v>#VALUE!</v>
      </c>
      <c r="AB78" s="11" t="e">
        <f t="shared" si="15"/>
        <v>#VALUE!</v>
      </c>
      <c r="AC78" s="11" t="e">
        <f>SUM($S$31:S78)/$V$31</f>
        <v>#VALUE!</v>
      </c>
      <c r="AD78" s="11" t="e">
        <f>SUM($S$31:S78,$R$31:R78,$T$31:T78)/$V$31</f>
        <v>#VALUE!</v>
      </c>
      <c r="AE78" s="11" t="e">
        <f>SUM($M$31:M78)/$V$31</f>
        <v>#VALUE!</v>
      </c>
      <c r="AF78" s="11" t="e">
        <f ca="1">SUM(SUM($M$31:M78),-SUM($T$31:T78))/$V$31</f>
        <v>#VALUE!</v>
      </c>
      <c r="AG78">
        <f t="shared" si="2"/>
        <v>2256</v>
      </c>
    </row>
    <row r="79" spans="2:33" x14ac:dyDescent="0.15">
      <c r="B79" s="1">
        <f t="shared" si="16"/>
        <v>48</v>
      </c>
      <c r="C79" s="1">
        <f t="shared" si="3"/>
        <v>48</v>
      </c>
      <c r="D79" s="25">
        <v>1.5995687272234299E-2</v>
      </c>
      <c r="E79" s="2">
        <f t="shared" si="4"/>
        <v>92682.033689450211</v>
      </c>
      <c r="F79" s="3">
        <f t="shared" si="17"/>
        <v>0.04</v>
      </c>
      <c r="G79" s="2">
        <f t="shared" si="18"/>
        <v>477.4153</v>
      </c>
      <c r="H79" s="2">
        <f t="shared" si="19"/>
        <v>308.94011229816738</v>
      </c>
      <c r="I79" s="2">
        <f t="shared" si="20"/>
        <v>168.47518770183262</v>
      </c>
      <c r="J79" s="2">
        <f t="shared" si="5"/>
        <v>92513.558501748383</v>
      </c>
      <c r="K79" s="2" t="e">
        <f t="shared" si="24"/>
        <v>#VALUE!</v>
      </c>
      <c r="L79" s="9">
        <v>1.6821425527395739E-3</v>
      </c>
      <c r="M79" s="2" t="e">
        <f t="shared" si="6"/>
        <v>#VALUE!</v>
      </c>
      <c r="N79" s="3">
        <f t="shared" si="7"/>
        <v>0.04</v>
      </c>
      <c r="O79" s="2" t="e">
        <f t="shared" si="8"/>
        <v>#VALUE!</v>
      </c>
      <c r="P79" s="10">
        <f t="shared" si="0"/>
        <v>0.92513558501748383</v>
      </c>
      <c r="Q79" s="13"/>
      <c r="R79" s="2" t="e">
        <f t="shared" si="21"/>
        <v>#VALUE!</v>
      </c>
      <c r="S79" s="2" t="e">
        <f t="shared" si="22"/>
        <v>#VALUE!</v>
      </c>
      <c r="T79" s="2" t="e">
        <f t="shared" ca="1" si="9"/>
        <v>#VALUE!</v>
      </c>
      <c r="U79" s="2" t="e">
        <f t="shared" si="23"/>
        <v>#VALUE!</v>
      </c>
      <c r="V79" s="2" t="e">
        <f t="shared" si="10"/>
        <v>#VALUE!</v>
      </c>
      <c r="W79" s="2">
        <f t="shared" si="11"/>
        <v>477.4153</v>
      </c>
      <c r="X79" s="2" t="e">
        <f t="shared" ca="1" si="12"/>
        <v>#VALUE!</v>
      </c>
      <c r="Y79" s="2" t="e">
        <f t="shared" ca="1" si="13"/>
        <v>#VALUE!</v>
      </c>
      <c r="Z79" s="10">
        <f t="shared" si="14"/>
        <v>0.85237055379675575</v>
      </c>
      <c r="AA79" s="10" t="e">
        <f t="shared" ca="1" si="1"/>
        <v>#VALUE!</v>
      </c>
      <c r="AB79" s="11" t="e">
        <f t="shared" si="15"/>
        <v>#VALUE!</v>
      </c>
      <c r="AC79" s="11" t="e">
        <f>SUM($S$31:S79)/$V$31</f>
        <v>#VALUE!</v>
      </c>
      <c r="AD79" s="11" t="e">
        <f>SUM($S$31:S79,$R$31:R79,$T$31:T79)/$V$31</f>
        <v>#VALUE!</v>
      </c>
      <c r="AE79" s="11" t="e">
        <f>SUM($M$31:M79)/$V$31</f>
        <v>#VALUE!</v>
      </c>
      <c r="AF79" s="11" t="e">
        <f ca="1">SUM(SUM($M$31:M79),-SUM($T$31:T79))/$V$31</f>
        <v>#VALUE!</v>
      </c>
      <c r="AG79">
        <f t="shared" si="2"/>
        <v>2352</v>
      </c>
    </row>
    <row r="80" spans="2:33" x14ac:dyDescent="0.15">
      <c r="B80" s="1">
        <f t="shared" si="16"/>
        <v>49</v>
      </c>
      <c r="C80" s="1">
        <f t="shared" si="3"/>
        <v>49</v>
      </c>
      <c r="D80" s="25">
        <v>1.6542306461521401E-2</v>
      </c>
      <c r="E80" s="2">
        <f t="shared" si="4"/>
        <v>92513.558501748383</v>
      </c>
      <c r="F80" s="3">
        <f t="shared" si="17"/>
        <v>0.04</v>
      </c>
      <c r="G80" s="2">
        <f t="shared" si="18"/>
        <v>477.4153</v>
      </c>
      <c r="H80" s="2">
        <f t="shared" si="19"/>
        <v>308.37852833916128</v>
      </c>
      <c r="I80" s="2">
        <f t="shared" si="20"/>
        <v>169.03677166083872</v>
      </c>
      <c r="J80" s="2">
        <f t="shared" si="5"/>
        <v>92344.521730087537</v>
      </c>
      <c r="K80" s="2" t="e">
        <f t="shared" si="24"/>
        <v>#VALUE!</v>
      </c>
      <c r="L80" s="9">
        <v>1.6821425527395739E-3</v>
      </c>
      <c r="M80" s="2" t="e">
        <f t="shared" si="6"/>
        <v>#VALUE!</v>
      </c>
      <c r="N80" s="3">
        <f t="shared" si="7"/>
        <v>0.04</v>
      </c>
      <c r="O80" s="2" t="e">
        <f t="shared" si="8"/>
        <v>#VALUE!</v>
      </c>
      <c r="P80" s="10">
        <f t="shared" si="0"/>
        <v>0.92344521730087537</v>
      </c>
      <c r="Q80" s="13"/>
      <c r="R80" s="2" t="e">
        <f t="shared" si="21"/>
        <v>#VALUE!</v>
      </c>
      <c r="S80" s="2" t="e">
        <f t="shared" si="22"/>
        <v>#VALUE!</v>
      </c>
      <c r="T80" s="2" t="e">
        <f t="shared" ca="1" si="9"/>
        <v>#VALUE!</v>
      </c>
      <c r="U80" s="2" t="e">
        <f t="shared" si="23"/>
        <v>#VALUE!</v>
      </c>
      <c r="V80" s="2" t="e">
        <f t="shared" si="10"/>
        <v>#VALUE!</v>
      </c>
      <c r="W80" s="2">
        <f t="shared" si="11"/>
        <v>477.4153</v>
      </c>
      <c r="X80" s="2" t="e">
        <f t="shared" ca="1" si="12"/>
        <v>#VALUE!</v>
      </c>
      <c r="Y80" s="2" t="e">
        <f t="shared" ca="1" si="13"/>
        <v>#VALUE!</v>
      </c>
      <c r="Z80" s="10">
        <f t="shared" si="14"/>
        <v>0.84953875793769018</v>
      </c>
      <c r="AA80" s="10" t="e">
        <f t="shared" ca="1" si="1"/>
        <v>#VALUE!</v>
      </c>
      <c r="AB80" s="11" t="e">
        <f t="shared" si="15"/>
        <v>#VALUE!</v>
      </c>
      <c r="AC80" s="11" t="e">
        <f>SUM($S$31:S80)/$V$31</f>
        <v>#VALUE!</v>
      </c>
      <c r="AD80" s="11" t="e">
        <f>SUM($S$31:S80,$R$31:R80,$T$31:T80)/$V$31</f>
        <v>#VALUE!</v>
      </c>
      <c r="AE80" s="11" t="e">
        <f>SUM($M$31:M80)/$V$31</f>
        <v>#VALUE!</v>
      </c>
      <c r="AF80" s="11" t="e">
        <f ca="1">SUM(SUM($M$31:M80),-SUM($T$31:T80))/$V$31</f>
        <v>#VALUE!</v>
      </c>
      <c r="AG80">
        <f t="shared" si="2"/>
        <v>2450</v>
      </c>
    </row>
    <row r="81" spans="2:33" x14ac:dyDescent="0.15">
      <c r="B81" s="1">
        <f t="shared" si="16"/>
        <v>50</v>
      </c>
      <c r="C81" s="1">
        <f t="shared" si="3"/>
        <v>50</v>
      </c>
      <c r="D81" s="25">
        <v>1.7083908180508499E-2</v>
      </c>
      <c r="E81" s="2">
        <f t="shared" si="4"/>
        <v>92344.521730087537</v>
      </c>
      <c r="F81" s="3">
        <f t="shared" si="17"/>
        <v>0.04</v>
      </c>
      <c r="G81" s="2">
        <f t="shared" si="18"/>
        <v>477.4153</v>
      </c>
      <c r="H81" s="2">
        <f t="shared" si="19"/>
        <v>307.81507243362512</v>
      </c>
      <c r="I81" s="2">
        <f t="shared" si="20"/>
        <v>169.60022756637488</v>
      </c>
      <c r="J81" s="2">
        <f t="shared" si="5"/>
        <v>92174.92150252116</v>
      </c>
      <c r="K81" s="2" t="e">
        <f t="shared" si="24"/>
        <v>#VALUE!</v>
      </c>
      <c r="L81" s="9">
        <v>1.6821425527395739E-3</v>
      </c>
      <c r="M81" s="2" t="e">
        <f t="shared" si="6"/>
        <v>#VALUE!</v>
      </c>
      <c r="N81" s="3">
        <f t="shared" si="7"/>
        <v>0.04</v>
      </c>
      <c r="O81" s="2" t="e">
        <f t="shared" si="8"/>
        <v>#VALUE!</v>
      </c>
      <c r="P81" s="10">
        <f t="shared" si="0"/>
        <v>0.92174921502521157</v>
      </c>
      <c r="Q81" s="13"/>
      <c r="R81" s="2" t="e">
        <f t="shared" si="21"/>
        <v>#VALUE!</v>
      </c>
      <c r="S81" s="2" t="e">
        <f t="shared" si="22"/>
        <v>#VALUE!</v>
      </c>
      <c r="T81" s="2" t="e">
        <f t="shared" ca="1" si="9"/>
        <v>#VALUE!</v>
      </c>
      <c r="U81" s="2" t="e">
        <f t="shared" si="23"/>
        <v>#VALUE!</v>
      </c>
      <c r="V81" s="2" t="e">
        <f t="shared" si="10"/>
        <v>#VALUE!</v>
      </c>
      <c r="W81" s="2">
        <f t="shared" si="11"/>
        <v>477.4153</v>
      </c>
      <c r="X81" s="2" t="e">
        <f t="shared" ca="1" si="12"/>
        <v>#VALUE!</v>
      </c>
      <c r="Y81" s="2" t="e">
        <f t="shared" ca="1" si="13"/>
        <v>#VALUE!</v>
      </c>
      <c r="Z81" s="10">
        <f t="shared" si="14"/>
        <v>0.84671637003828715</v>
      </c>
      <c r="AA81" s="10" t="e">
        <f t="shared" ca="1" si="1"/>
        <v>#VALUE!</v>
      </c>
      <c r="AB81" s="11" t="e">
        <f t="shared" si="15"/>
        <v>#VALUE!</v>
      </c>
      <c r="AC81" s="11" t="e">
        <f>SUM($S$31:S81)/$V$31</f>
        <v>#VALUE!</v>
      </c>
      <c r="AD81" s="11" t="e">
        <f>SUM($S$31:S81,$R$31:R81,$T$31:T81)/$V$31</f>
        <v>#VALUE!</v>
      </c>
      <c r="AE81" s="11" t="e">
        <f>SUM($M$31:M81)/$V$31</f>
        <v>#VALUE!</v>
      </c>
      <c r="AF81" s="11" t="e">
        <f ca="1">SUM(SUM($M$31:M81),-SUM($T$31:T81))/$V$31</f>
        <v>#VALUE!</v>
      </c>
      <c r="AG81">
        <f t="shared" si="2"/>
        <v>2550</v>
      </c>
    </row>
    <row r="82" spans="2:33" x14ac:dyDescent="0.15">
      <c r="B82" s="1">
        <f t="shared" si="16"/>
        <v>51</v>
      </c>
      <c r="C82" s="1">
        <f t="shared" si="3"/>
        <v>51</v>
      </c>
      <c r="D82" s="25">
        <v>1.7634646569780799E-2</v>
      </c>
      <c r="E82" s="2">
        <f t="shared" si="4"/>
        <v>92174.92150252116</v>
      </c>
      <c r="F82" s="3">
        <f t="shared" si="17"/>
        <v>0.04</v>
      </c>
      <c r="G82" s="2">
        <f t="shared" si="18"/>
        <v>477.4153</v>
      </c>
      <c r="H82" s="2">
        <f t="shared" si="19"/>
        <v>307.24973834173721</v>
      </c>
      <c r="I82" s="2">
        <f t="shared" si="20"/>
        <v>170.16556165826279</v>
      </c>
      <c r="J82" s="2">
        <f t="shared" si="5"/>
        <v>92004.755940862902</v>
      </c>
      <c r="K82" s="2" t="e">
        <f t="shared" si="24"/>
        <v>#VALUE!</v>
      </c>
      <c r="L82" s="9">
        <v>1.6821425527395739E-3</v>
      </c>
      <c r="M82" s="2" t="e">
        <f t="shared" si="6"/>
        <v>#VALUE!</v>
      </c>
      <c r="N82" s="3">
        <f t="shared" si="7"/>
        <v>0.04</v>
      </c>
      <c r="O82" s="2" t="e">
        <f t="shared" si="8"/>
        <v>#VALUE!</v>
      </c>
      <c r="P82" s="10">
        <f t="shared" si="0"/>
        <v>0.92004755940862903</v>
      </c>
      <c r="Q82" s="13"/>
      <c r="R82" s="2" t="e">
        <f t="shared" si="21"/>
        <v>#VALUE!</v>
      </c>
      <c r="S82" s="2" t="e">
        <f t="shared" si="22"/>
        <v>#VALUE!</v>
      </c>
      <c r="T82" s="2" t="e">
        <f t="shared" ca="1" si="9"/>
        <v>#VALUE!</v>
      </c>
      <c r="U82" s="2" t="e">
        <f t="shared" si="23"/>
        <v>#VALUE!</v>
      </c>
      <c r="V82" s="2" t="e">
        <f t="shared" si="10"/>
        <v>#VALUE!</v>
      </c>
      <c r="W82" s="2">
        <f t="shared" si="11"/>
        <v>477.4153</v>
      </c>
      <c r="X82" s="2" t="e">
        <f t="shared" ca="1" si="12"/>
        <v>#VALUE!</v>
      </c>
      <c r="Y82" s="2" t="e">
        <f t="shared" ca="1" si="13"/>
        <v>#VALUE!</v>
      </c>
      <c r="Z82" s="10">
        <f t="shared" si="14"/>
        <v>0.84390335884286638</v>
      </c>
      <c r="AA82" s="10" t="e">
        <f t="shared" ca="1" si="1"/>
        <v>#VALUE!</v>
      </c>
      <c r="AB82" s="11" t="e">
        <f t="shared" si="15"/>
        <v>#VALUE!</v>
      </c>
      <c r="AC82" s="11" t="e">
        <f>SUM($S$31:S82)/$V$31</f>
        <v>#VALUE!</v>
      </c>
      <c r="AD82" s="11" t="e">
        <f>SUM($S$31:S82,$R$31:R82,$T$31:T82)/$V$31</f>
        <v>#VALUE!</v>
      </c>
      <c r="AE82" s="11" t="e">
        <f>SUM($M$31:M82)/$V$31</f>
        <v>#VALUE!</v>
      </c>
      <c r="AF82" s="11" t="e">
        <f ca="1">SUM(SUM($M$31:M82),-SUM($T$31:T82))/$V$31</f>
        <v>#VALUE!</v>
      </c>
      <c r="AG82">
        <f t="shared" si="2"/>
        <v>2652</v>
      </c>
    </row>
    <row r="83" spans="2:33" x14ac:dyDescent="0.15">
      <c r="B83" s="1">
        <f t="shared" si="16"/>
        <v>52</v>
      </c>
      <c r="C83" s="1">
        <f t="shared" si="3"/>
        <v>52</v>
      </c>
      <c r="D83" s="25">
        <v>1.8177968824350001E-2</v>
      </c>
      <c r="E83" s="2">
        <f t="shared" si="4"/>
        <v>92004.755940862902</v>
      </c>
      <c r="F83" s="3">
        <f t="shared" si="17"/>
        <v>0.04</v>
      </c>
      <c r="G83" s="2">
        <f t="shared" si="18"/>
        <v>477.4153</v>
      </c>
      <c r="H83" s="2">
        <f t="shared" si="19"/>
        <v>306.68251980287636</v>
      </c>
      <c r="I83" s="2">
        <f t="shared" si="20"/>
        <v>170.73278019712365</v>
      </c>
      <c r="J83" s="2">
        <f t="shared" si="5"/>
        <v>91834.023160665776</v>
      </c>
      <c r="K83" s="2" t="e">
        <f t="shared" si="24"/>
        <v>#VALUE!</v>
      </c>
      <c r="L83" s="9">
        <v>1.6821425527395739E-3</v>
      </c>
      <c r="M83" s="2" t="e">
        <f t="shared" si="6"/>
        <v>#VALUE!</v>
      </c>
      <c r="N83" s="3">
        <f t="shared" si="7"/>
        <v>0.04</v>
      </c>
      <c r="O83" s="2" t="e">
        <f t="shared" si="8"/>
        <v>#VALUE!</v>
      </c>
      <c r="P83" s="10">
        <f t="shared" si="0"/>
        <v>0.91834023160665779</v>
      </c>
      <c r="Q83" s="13"/>
      <c r="R83" s="2" t="e">
        <f t="shared" si="21"/>
        <v>#VALUE!</v>
      </c>
      <c r="S83" s="2" t="e">
        <f t="shared" si="22"/>
        <v>#VALUE!</v>
      </c>
      <c r="T83" s="2" t="e">
        <f t="shared" ca="1" si="9"/>
        <v>#VALUE!</v>
      </c>
      <c r="U83" s="2" t="e">
        <f t="shared" si="23"/>
        <v>#VALUE!</v>
      </c>
      <c r="V83" s="2" t="e">
        <f t="shared" si="10"/>
        <v>#VALUE!</v>
      </c>
      <c r="W83" s="2">
        <f t="shared" si="11"/>
        <v>477.4153</v>
      </c>
      <c r="X83" s="2" t="e">
        <f t="shared" ca="1" si="12"/>
        <v>#VALUE!</v>
      </c>
      <c r="Y83" s="2" t="e">
        <f t="shared" ca="1" si="13"/>
        <v>#VALUE!</v>
      </c>
      <c r="Z83" s="10">
        <f t="shared" si="14"/>
        <v>0.84109969319958744</v>
      </c>
      <c r="AA83" s="10" t="e">
        <f t="shared" ca="1" si="1"/>
        <v>#VALUE!</v>
      </c>
      <c r="AB83" s="11" t="e">
        <f t="shared" si="15"/>
        <v>#VALUE!</v>
      </c>
      <c r="AC83" s="11" t="e">
        <f>SUM($S$31:S83)/$V$31</f>
        <v>#VALUE!</v>
      </c>
      <c r="AD83" s="11" t="e">
        <f>SUM($S$31:S83,$R$31:R83,$T$31:T83)/$V$31</f>
        <v>#VALUE!</v>
      </c>
      <c r="AE83" s="11" t="e">
        <f>SUM($M$31:M83)/$V$31</f>
        <v>#VALUE!</v>
      </c>
      <c r="AF83" s="11" t="e">
        <f ca="1">SUM(SUM($M$31:M83),-SUM($T$31:T83))/$V$31</f>
        <v>#VALUE!</v>
      </c>
      <c r="AG83">
        <f t="shared" si="2"/>
        <v>2756</v>
      </c>
    </row>
    <row r="84" spans="2:33" x14ac:dyDescent="0.15">
      <c r="B84" s="1">
        <f t="shared" si="16"/>
        <v>53</v>
      </c>
      <c r="C84" s="1">
        <f t="shared" si="3"/>
        <v>53</v>
      </c>
      <c r="D84" s="25">
        <v>1.8712440764839099E-2</v>
      </c>
      <c r="E84" s="2">
        <f t="shared" si="4"/>
        <v>91834.023160665776</v>
      </c>
      <c r="F84" s="3">
        <f t="shared" si="17"/>
        <v>0.04</v>
      </c>
      <c r="G84" s="2">
        <f t="shared" si="18"/>
        <v>477.4153</v>
      </c>
      <c r="H84" s="2">
        <f t="shared" si="19"/>
        <v>306.11341053555259</v>
      </c>
      <c r="I84" s="2">
        <f t="shared" si="20"/>
        <v>171.30188946444741</v>
      </c>
      <c r="J84" s="2">
        <f t="shared" si="5"/>
        <v>91662.721271201328</v>
      </c>
      <c r="K84" s="2" t="e">
        <f t="shared" si="24"/>
        <v>#VALUE!</v>
      </c>
      <c r="L84" s="9">
        <v>1.6821425527395739E-3</v>
      </c>
      <c r="M84" s="2" t="e">
        <f t="shared" si="6"/>
        <v>#VALUE!</v>
      </c>
      <c r="N84" s="3">
        <f t="shared" si="7"/>
        <v>0.04</v>
      </c>
      <c r="O84" s="2" t="e">
        <f t="shared" si="8"/>
        <v>#VALUE!</v>
      </c>
      <c r="P84" s="10">
        <f t="shared" si="0"/>
        <v>0.91662721271201331</v>
      </c>
      <c r="Q84" s="13"/>
      <c r="R84" s="2" t="e">
        <f t="shared" si="21"/>
        <v>#VALUE!</v>
      </c>
      <c r="S84" s="2" t="e">
        <f t="shared" si="22"/>
        <v>#VALUE!</v>
      </c>
      <c r="T84" s="2" t="e">
        <f t="shared" ca="1" si="9"/>
        <v>#VALUE!</v>
      </c>
      <c r="U84" s="2" t="e">
        <f t="shared" si="23"/>
        <v>#VALUE!</v>
      </c>
      <c r="V84" s="2" t="e">
        <f t="shared" si="10"/>
        <v>#VALUE!</v>
      </c>
      <c r="W84" s="2">
        <f t="shared" si="11"/>
        <v>477.4153</v>
      </c>
      <c r="X84" s="2" t="e">
        <f t="shared" ca="1" si="12"/>
        <v>#VALUE!</v>
      </c>
      <c r="Y84" s="2" t="e">
        <f t="shared" ca="1" si="13"/>
        <v>#VALUE!</v>
      </c>
      <c r="Z84" s="10">
        <f t="shared" si="14"/>
        <v>0.83830534206010454</v>
      </c>
      <c r="AA84" s="10" t="e">
        <f t="shared" ca="1" si="1"/>
        <v>#VALUE!</v>
      </c>
      <c r="AB84" s="11" t="e">
        <f t="shared" si="15"/>
        <v>#VALUE!</v>
      </c>
      <c r="AC84" s="11" t="e">
        <f>SUM($S$31:S84)/$V$31</f>
        <v>#VALUE!</v>
      </c>
      <c r="AD84" s="11" t="e">
        <f>SUM($S$31:S84,$R$31:R84,$T$31:T84)/$V$31</f>
        <v>#VALUE!</v>
      </c>
      <c r="AE84" s="11" t="e">
        <f>SUM($M$31:M84)/$V$31</f>
        <v>#VALUE!</v>
      </c>
      <c r="AF84" s="11" t="e">
        <f ca="1">SUM(SUM($M$31:M84),-SUM($T$31:T84))/$V$31</f>
        <v>#VALUE!</v>
      </c>
      <c r="AG84">
        <f t="shared" si="2"/>
        <v>2862</v>
      </c>
    </row>
    <row r="85" spans="2:33" x14ac:dyDescent="0.15">
      <c r="B85" s="1">
        <f t="shared" si="16"/>
        <v>54</v>
      </c>
      <c r="C85" s="1">
        <f t="shared" si="3"/>
        <v>54</v>
      </c>
      <c r="D85" s="25">
        <v>1.9239604729629801E-2</v>
      </c>
      <c r="E85" s="2">
        <f t="shared" si="4"/>
        <v>91662.721271201328</v>
      </c>
      <c r="F85" s="3">
        <f t="shared" si="17"/>
        <v>0.04</v>
      </c>
      <c r="G85" s="2">
        <f t="shared" si="18"/>
        <v>477.4153</v>
      </c>
      <c r="H85" s="2">
        <f t="shared" si="19"/>
        <v>305.54240423733779</v>
      </c>
      <c r="I85" s="2">
        <f t="shared" si="20"/>
        <v>171.87289576266221</v>
      </c>
      <c r="J85" s="2">
        <f t="shared" si="5"/>
        <v>91490.848375438669</v>
      </c>
      <c r="K85" s="2" t="e">
        <f t="shared" si="24"/>
        <v>#VALUE!</v>
      </c>
      <c r="L85" s="9">
        <v>1.6821425527395739E-3</v>
      </c>
      <c r="M85" s="2" t="e">
        <f t="shared" si="6"/>
        <v>#VALUE!</v>
      </c>
      <c r="N85" s="3">
        <f t="shared" si="7"/>
        <v>0.04</v>
      </c>
      <c r="O85" s="2" t="e">
        <f t="shared" si="8"/>
        <v>#VALUE!</v>
      </c>
      <c r="P85" s="10">
        <f t="shared" si="0"/>
        <v>0.91490848375438671</v>
      </c>
      <c r="Q85" s="13"/>
      <c r="R85" s="2" t="e">
        <f t="shared" si="21"/>
        <v>#VALUE!</v>
      </c>
      <c r="S85" s="2" t="e">
        <f t="shared" si="22"/>
        <v>#VALUE!</v>
      </c>
      <c r="T85" s="2" t="e">
        <f t="shared" ca="1" si="9"/>
        <v>#VALUE!</v>
      </c>
      <c r="U85" s="2" t="e">
        <f t="shared" si="23"/>
        <v>#VALUE!</v>
      </c>
      <c r="V85" s="2" t="e">
        <f t="shared" si="10"/>
        <v>#VALUE!</v>
      </c>
      <c r="W85" s="2">
        <f t="shared" si="11"/>
        <v>477.4153</v>
      </c>
      <c r="X85" s="2" t="e">
        <f t="shared" ca="1" si="12"/>
        <v>#VALUE!</v>
      </c>
      <c r="Y85" s="2" t="e">
        <f t="shared" ca="1" si="13"/>
        <v>#VALUE!</v>
      </c>
      <c r="Z85" s="10">
        <f t="shared" si="14"/>
        <v>0.83552027447922195</v>
      </c>
      <c r="AA85" s="10" t="e">
        <f t="shared" ca="1" si="1"/>
        <v>#VALUE!</v>
      </c>
      <c r="AB85" s="11" t="e">
        <f t="shared" si="15"/>
        <v>#VALUE!</v>
      </c>
      <c r="AC85" s="11" t="e">
        <f>SUM($S$31:S85)/$V$31</f>
        <v>#VALUE!</v>
      </c>
      <c r="AD85" s="11" t="e">
        <f>SUM($S$31:S85,$R$31:R85,$T$31:T85)/$V$31</f>
        <v>#VALUE!</v>
      </c>
      <c r="AE85" s="11" t="e">
        <f>SUM($M$31:M85)/$V$31</f>
        <v>#VALUE!</v>
      </c>
      <c r="AF85" s="11" t="e">
        <f ca="1">SUM(SUM($M$31:M85),-SUM($T$31:T85))/$V$31</f>
        <v>#VALUE!</v>
      </c>
      <c r="AG85">
        <f t="shared" si="2"/>
        <v>2970</v>
      </c>
    </row>
    <row r="86" spans="2:33" x14ac:dyDescent="0.15">
      <c r="B86" s="1">
        <f t="shared" si="16"/>
        <v>55</v>
      </c>
      <c r="C86" s="1">
        <f t="shared" si="3"/>
        <v>55</v>
      </c>
      <c r="D86" s="25">
        <v>1.9766695640898099E-2</v>
      </c>
      <c r="E86" s="2">
        <f t="shared" si="4"/>
        <v>91490.848375438669</v>
      </c>
      <c r="F86" s="3">
        <f t="shared" si="17"/>
        <v>0.04</v>
      </c>
      <c r="G86" s="2">
        <f t="shared" si="18"/>
        <v>477.4153</v>
      </c>
      <c r="H86" s="2">
        <f t="shared" si="19"/>
        <v>304.9694945847956</v>
      </c>
      <c r="I86" s="2">
        <f t="shared" si="20"/>
        <v>172.4458054152044</v>
      </c>
      <c r="J86" s="2">
        <f t="shared" si="5"/>
        <v>91318.402570023463</v>
      </c>
      <c r="K86" s="2" t="e">
        <f t="shared" si="24"/>
        <v>#VALUE!</v>
      </c>
      <c r="L86" s="9">
        <v>1.6821425527395739E-3</v>
      </c>
      <c r="M86" s="2" t="e">
        <f t="shared" si="6"/>
        <v>#VALUE!</v>
      </c>
      <c r="N86" s="3">
        <f t="shared" si="7"/>
        <v>0.04</v>
      </c>
      <c r="O86" s="2" t="e">
        <f t="shared" si="8"/>
        <v>#VALUE!</v>
      </c>
      <c r="P86" s="10">
        <f t="shared" si="0"/>
        <v>0.9131840257002346</v>
      </c>
      <c r="Q86" s="13"/>
      <c r="R86" s="2" t="e">
        <f t="shared" si="21"/>
        <v>#VALUE!</v>
      </c>
      <c r="S86" s="2" t="e">
        <f t="shared" si="22"/>
        <v>#VALUE!</v>
      </c>
      <c r="T86" s="2" t="e">
        <f t="shared" ca="1" si="9"/>
        <v>#VALUE!</v>
      </c>
      <c r="U86" s="2" t="e">
        <f t="shared" si="23"/>
        <v>#VALUE!</v>
      </c>
      <c r="V86" s="2" t="e">
        <f t="shared" si="10"/>
        <v>#VALUE!</v>
      </c>
      <c r="W86" s="2">
        <f t="shared" si="11"/>
        <v>477.4153</v>
      </c>
      <c r="X86" s="2" t="e">
        <f t="shared" ca="1" si="12"/>
        <v>#VALUE!</v>
      </c>
      <c r="Y86" s="2" t="e">
        <f t="shared" ca="1" si="13"/>
        <v>#VALUE!</v>
      </c>
      <c r="Z86" s="10">
        <f t="shared" si="14"/>
        <v>0.83274445961455268</v>
      </c>
      <c r="AA86" s="10" t="e">
        <f t="shared" ca="1" si="1"/>
        <v>#VALUE!</v>
      </c>
      <c r="AB86" s="11" t="e">
        <f t="shared" si="15"/>
        <v>#VALUE!</v>
      </c>
      <c r="AC86" s="11" t="e">
        <f>SUM($S$31:S86)/$V$31</f>
        <v>#VALUE!</v>
      </c>
      <c r="AD86" s="11" t="e">
        <f>SUM($S$31:S86,$R$31:R86,$T$31:T86)/$V$31</f>
        <v>#VALUE!</v>
      </c>
      <c r="AE86" s="11" t="e">
        <f>SUM($M$31:M86)/$V$31</f>
        <v>#VALUE!</v>
      </c>
      <c r="AF86" s="11" t="e">
        <f ca="1">SUM(SUM($M$31:M86),-SUM($T$31:T86))/$V$31</f>
        <v>#VALUE!</v>
      </c>
      <c r="AG86">
        <f t="shared" si="2"/>
        <v>3080</v>
      </c>
    </row>
    <row r="87" spans="2:33" x14ac:dyDescent="0.15">
      <c r="B87" s="1">
        <f t="shared" si="16"/>
        <v>56</v>
      </c>
      <c r="C87" s="1">
        <f t="shared" si="3"/>
        <v>56</v>
      </c>
      <c r="D87" s="25">
        <v>2.0276623787901703E-2</v>
      </c>
      <c r="E87" s="2">
        <f t="shared" si="4"/>
        <v>91318.402570023463</v>
      </c>
      <c r="F87" s="3">
        <f t="shared" si="17"/>
        <v>0.04</v>
      </c>
      <c r="G87" s="2">
        <f t="shared" si="18"/>
        <v>477.4153</v>
      </c>
      <c r="H87" s="2">
        <f t="shared" si="19"/>
        <v>304.39467523341159</v>
      </c>
      <c r="I87" s="2">
        <f t="shared" si="20"/>
        <v>173.02062476658841</v>
      </c>
      <c r="J87" s="2">
        <f t="shared" si="5"/>
        <v>91145.381945256871</v>
      </c>
      <c r="K87" s="2" t="e">
        <f t="shared" si="24"/>
        <v>#VALUE!</v>
      </c>
      <c r="L87" s="9">
        <v>1.6821425527395739E-3</v>
      </c>
      <c r="M87" s="2" t="e">
        <f t="shared" si="6"/>
        <v>#VALUE!</v>
      </c>
      <c r="N87" s="3">
        <f t="shared" si="7"/>
        <v>0.04</v>
      </c>
      <c r="O87" s="2" t="e">
        <f t="shared" si="8"/>
        <v>#VALUE!</v>
      </c>
      <c r="P87" s="10">
        <f t="shared" si="0"/>
        <v>0.91145381945256876</v>
      </c>
      <c r="Q87" s="13"/>
      <c r="R87" s="2" t="e">
        <f t="shared" si="21"/>
        <v>#VALUE!</v>
      </c>
      <c r="S87" s="2" t="e">
        <f t="shared" si="22"/>
        <v>#VALUE!</v>
      </c>
      <c r="T87" s="2" t="e">
        <f t="shared" ca="1" si="9"/>
        <v>#VALUE!</v>
      </c>
      <c r="U87" s="2" t="e">
        <f t="shared" si="23"/>
        <v>#VALUE!</v>
      </c>
      <c r="V87" s="2" t="e">
        <f t="shared" si="10"/>
        <v>#VALUE!</v>
      </c>
      <c r="W87" s="2">
        <f t="shared" si="11"/>
        <v>477.4153</v>
      </c>
      <c r="X87" s="2" t="e">
        <f t="shared" ca="1" si="12"/>
        <v>#VALUE!</v>
      </c>
      <c r="Y87" s="2" t="e">
        <f t="shared" ca="1" si="13"/>
        <v>#VALUE!</v>
      </c>
      <c r="Z87" s="10">
        <f t="shared" si="14"/>
        <v>0.82997786672617568</v>
      </c>
      <c r="AA87" s="10" t="e">
        <f t="shared" ca="1" si="1"/>
        <v>#VALUE!</v>
      </c>
      <c r="AB87" s="11" t="e">
        <f t="shared" si="15"/>
        <v>#VALUE!</v>
      </c>
      <c r="AC87" s="11" t="e">
        <f>SUM($S$31:S87)/$V$31</f>
        <v>#VALUE!</v>
      </c>
      <c r="AD87" s="11" t="e">
        <f>SUM($S$31:S87,$R$31:R87,$T$31:T87)/$V$31</f>
        <v>#VALUE!</v>
      </c>
      <c r="AE87" s="11" t="e">
        <f>SUM($M$31:M87)/$V$31</f>
        <v>#VALUE!</v>
      </c>
      <c r="AF87" s="11" t="e">
        <f ca="1">SUM(SUM($M$31:M87),-SUM($T$31:T87))/$V$31</f>
        <v>#VALUE!</v>
      </c>
      <c r="AG87">
        <f t="shared" si="2"/>
        <v>3192</v>
      </c>
    </row>
    <row r="88" spans="2:33" x14ac:dyDescent="0.15">
      <c r="B88" s="1">
        <f t="shared" si="16"/>
        <v>57</v>
      </c>
      <c r="C88" s="1">
        <f t="shared" si="3"/>
        <v>57</v>
      </c>
      <c r="D88" s="25">
        <v>2.0779412092297299E-2</v>
      </c>
      <c r="E88" s="2">
        <f t="shared" si="4"/>
        <v>91145.381945256871</v>
      </c>
      <c r="F88" s="3">
        <f t="shared" si="17"/>
        <v>0.04</v>
      </c>
      <c r="G88" s="2">
        <f t="shared" si="18"/>
        <v>477.4153</v>
      </c>
      <c r="H88" s="2">
        <f t="shared" si="19"/>
        <v>303.81793981752293</v>
      </c>
      <c r="I88" s="2">
        <f t="shared" si="20"/>
        <v>173.59736018247708</v>
      </c>
      <c r="J88" s="2">
        <f t="shared" si="5"/>
        <v>90971.784585074391</v>
      </c>
      <c r="K88" s="2" t="e">
        <f t="shared" si="24"/>
        <v>#VALUE!</v>
      </c>
      <c r="L88" s="9">
        <v>1.6821425527395739E-3</v>
      </c>
      <c r="M88" s="2" t="e">
        <f t="shared" si="6"/>
        <v>#VALUE!</v>
      </c>
      <c r="N88" s="3">
        <f t="shared" si="7"/>
        <v>0.04</v>
      </c>
      <c r="O88" s="2" t="e">
        <f t="shared" si="8"/>
        <v>#VALUE!</v>
      </c>
      <c r="P88" s="10">
        <f t="shared" si="0"/>
        <v>0.90971784585074389</v>
      </c>
      <c r="Q88" s="13"/>
      <c r="R88" s="2" t="e">
        <f t="shared" si="21"/>
        <v>#VALUE!</v>
      </c>
      <c r="S88" s="2" t="e">
        <f t="shared" si="22"/>
        <v>#VALUE!</v>
      </c>
      <c r="T88" s="2" t="e">
        <f t="shared" ca="1" si="9"/>
        <v>#VALUE!</v>
      </c>
      <c r="U88" s="2" t="e">
        <f t="shared" si="23"/>
        <v>#VALUE!</v>
      </c>
      <c r="V88" s="2" t="e">
        <f t="shared" si="10"/>
        <v>#VALUE!</v>
      </c>
      <c r="W88" s="2">
        <f t="shared" si="11"/>
        <v>477.4153</v>
      </c>
      <c r="X88" s="2" t="e">
        <f t="shared" ca="1" si="12"/>
        <v>#VALUE!</v>
      </c>
      <c r="Y88" s="2" t="e">
        <f t="shared" ca="1" si="13"/>
        <v>#VALUE!</v>
      </c>
      <c r="Z88" s="10">
        <f t="shared" si="14"/>
        <v>0.82722046517629588</v>
      </c>
      <c r="AA88" s="10" t="e">
        <f t="shared" ca="1" si="1"/>
        <v>#VALUE!</v>
      </c>
      <c r="AB88" s="11" t="e">
        <f t="shared" si="15"/>
        <v>#VALUE!</v>
      </c>
      <c r="AC88" s="11" t="e">
        <f>SUM($S$31:S88)/$V$31</f>
        <v>#VALUE!</v>
      </c>
      <c r="AD88" s="11" t="e">
        <f>SUM($S$31:S88,$R$31:R88,$T$31:T88)/$V$31</f>
        <v>#VALUE!</v>
      </c>
      <c r="AE88" s="11" t="e">
        <f>SUM($M$31:M88)/$V$31</f>
        <v>#VALUE!</v>
      </c>
      <c r="AF88" s="11" t="e">
        <f ca="1">SUM(SUM($M$31:M88),-SUM($T$31:T88))/$V$31</f>
        <v>#VALUE!</v>
      </c>
      <c r="AG88">
        <f t="shared" si="2"/>
        <v>3306</v>
      </c>
    </row>
    <row r="89" spans="2:33" x14ac:dyDescent="0.15">
      <c r="B89" s="1">
        <f t="shared" si="16"/>
        <v>58</v>
      </c>
      <c r="C89" s="1">
        <f t="shared" si="3"/>
        <v>58</v>
      </c>
      <c r="D89" s="25">
        <v>2.12730600898445E-2</v>
      </c>
      <c r="E89" s="2">
        <f t="shared" si="4"/>
        <v>90971.784585074391</v>
      </c>
      <c r="F89" s="3">
        <f t="shared" si="17"/>
        <v>0.04</v>
      </c>
      <c r="G89" s="2">
        <f t="shared" si="18"/>
        <v>477.4153</v>
      </c>
      <c r="H89" s="2">
        <f t="shared" si="19"/>
        <v>303.23928195024797</v>
      </c>
      <c r="I89" s="2">
        <f t="shared" si="20"/>
        <v>174.17601804975203</v>
      </c>
      <c r="J89" s="2">
        <f t="shared" si="5"/>
        <v>90797.608567024639</v>
      </c>
      <c r="K89" s="2" t="e">
        <f t="shared" si="24"/>
        <v>#VALUE!</v>
      </c>
      <c r="L89" s="9">
        <v>1.6821425527395739E-3</v>
      </c>
      <c r="M89" s="2" t="e">
        <f t="shared" si="6"/>
        <v>#VALUE!</v>
      </c>
      <c r="N89" s="3">
        <f t="shared" si="7"/>
        <v>0.04</v>
      </c>
      <c r="O89" s="2" t="e">
        <f t="shared" si="8"/>
        <v>#VALUE!</v>
      </c>
      <c r="P89" s="10">
        <f t="shared" si="0"/>
        <v>0.90797608567024635</v>
      </c>
      <c r="Q89" s="13"/>
      <c r="R89" s="2" t="e">
        <f t="shared" si="21"/>
        <v>#VALUE!</v>
      </c>
      <c r="S89" s="2" t="e">
        <f t="shared" si="22"/>
        <v>#VALUE!</v>
      </c>
      <c r="T89" s="2" t="e">
        <f t="shared" ca="1" si="9"/>
        <v>#VALUE!</v>
      </c>
      <c r="U89" s="2" t="e">
        <f t="shared" si="23"/>
        <v>#VALUE!</v>
      </c>
      <c r="V89" s="2" t="e">
        <f t="shared" si="10"/>
        <v>#VALUE!</v>
      </c>
      <c r="W89" s="2">
        <f t="shared" si="11"/>
        <v>477.4153</v>
      </c>
      <c r="X89" s="2" t="e">
        <f t="shared" ca="1" si="12"/>
        <v>#VALUE!</v>
      </c>
      <c r="Y89" s="2" t="e">
        <f t="shared" ca="1" si="13"/>
        <v>#VALUE!</v>
      </c>
      <c r="Z89" s="10">
        <f t="shared" si="14"/>
        <v>0.82447222442890489</v>
      </c>
      <c r="AA89" s="10" t="e">
        <f t="shared" ca="1" si="1"/>
        <v>#VALUE!</v>
      </c>
      <c r="AB89" s="11" t="e">
        <f t="shared" si="15"/>
        <v>#VALUE!</v>
      </c>
      <c r="AC89" s="11" t="e">
        <f>SUM($S$31:S89)/$V$31</f>
        <v>#VALUE!</v>
      </c>
      <c r="AD89" s="11" t="e">
        <f>SUM($S$31:S89,$R$31:R89,$T$31:T89)/$V$31</f>
        <v>#VALUE!</v>
      </c>
      <c r="AE89" s="11" t="e">
        <f>SUM($M$31:M89)/$V$31</f>
        <v>#VALUE!</v>
      </c>
      <c r="AF89" s="11" t="e">
        <f ca="1">SUM(SUM($M$31:M89),-SUM($T$31:T89))/$V$31</f>
        <v>#VALUE!</v>
      </c>
      <c r="AG89">
        <f t="shared" si="2"/>
        <v>3422</v>
      </c>
    </row>
    <row r="90" spans="2:33" x14ac:dyDescent="0.15">
      <c r="B90" s="1">
        <f t="shared" si="16"/>
        <v>59</v>
      </c>
      <c r="C90" s="1">
        <f t="shared" si="3"/>
        <v>59</v>
      </c>
      <c r="D90" s="25">
        <v>2.1759682230448898E-2</v>
      </c>
      <c r="E90" s="2">
        <f t="shared" si="4"/>
        <v>90797.608567024639</v>
      </c>
      <c r="F90" s="3">
        <f t="shared" si="17"/>
        <v>0.04</v>
      </c>
      <c r="G90" s="2">
        <f t="shared" si="18"/>
        <v>477.4153</v>
      </c>
      <c r="H90" s="2">
        <f t="shared" si="19"/>
        <v>302.65869522341546</v>
      </c>
      <c r="I90" s="2">
        <f t="shared" si="20"/>
        <v>174.75660477658454</v>
      </c>
      <c r="J90" s="2">
        <f t="shared" si="5"/>
        <v>90622.851962248053</v>
      </c>
      <c r="K90" s="2" t="e">
        <f t="shared" si="24"/>
        <v>#VALUE!</v>
      </c>
      <c r="L90" s="9">
        <v>1.6821425527395739E-3</v>
      </c>
      <c r="M90" s="2" t="e">
        <f t="shared" si="6"/>
        <v>#VALUE!</v>
      </c>
      <c r="N90" s="3">
        <f t="shared" si="7"/>
        <v>0.04</v>
      </c>
      <c r="O90" s="2" t="e">
        <f t="shared" si="8"/>
        <v>#VALUE!</v>
      </c>
      <c r="P90" s="10">
        <f t="shared" si="0"/>
        <v>0.90622851962248052</v>
      </c>
      <c r="Q90" s="13"/>
      <c r="R90" s="2" t="e">
        <f t="shared" si="21"/>
        <v>#VALUE!</v>
      </c>
      <c r="S90" s="2" t="e">
        <f t="shared" si="22"/>
        <v>#VALUE!</v>
      </c>
      <c r="T90" s="2" t="e">
        <f t="shared" ca="1" si="9"/>
        <v>#VALUE!</v>
      </c>
      <c r="U90" s="2" t="e">
        <f t="shared" si="23"/>
        <v>#VALUE!</v>
      </c>
      <c r="V90" s="2" t="e">
        <f t="shared" si="10"/>
        <v>#VALUE!</v>
      </c>
      <c r="W90" s="2">
        <f t="shared" si="11"/>
        <v>477.4153</v>
      </c>
      <c r="X90" s="2" t="e">
        <f t="shared" ca="1" si="12"/>
        <v>#VALUE!</v>
      </c>
      <c r="Y90" s="2" t="e">
        <f t="shared" ca="1" si="13"/>
        <v>#VALUE!</v>
      </c>
      <c r="Z90" s="10">
        <f t="shared" si="14"/>
        <v>0.82173311404944327</v>
      </c>
      <c r="AA90" s="10" t="e">
        <f t="shared" ca="1" si="1"/>
        <v>#VALUE!</v>
      </c>
      <c r="AB90" s="11" t="e">
        <f t="shared" si="15"/>
        <v>#VALUE!</v>
      </c>
      <c r="AC90" s="11" t="e">
        <f>SUM($S$31:S90)/$V$31</f>
        <v>#VALUE!</v>
      </c>
      <c r="AD90" s="11" t="e">
        <f>SUM($S$31:S90,$R$31:R90,$T$31:T90)/$V$31</f>
        <v>#VALUE!</v>
      </c>
      <c r="AE90" s="11" t="e">
        <f>SUM($M$31:M90)/$V$31</f>
        <v>#VALUE!</v>
      </c>
      <c r="AF90" s="11" t="e">
        <f ca="1">SUM(SUM($M$31:M90),-SUM($T$31:T90))/$V$31</f>
        <v>#VALUE!</v>
      </c>
      <c r="AG90">
        <f t="shared" si="2"/>
        <v>3540</v>
      </c>
    </row>
    <row r="91" spans="2:33" x14ac:dyDescent="0.15">
      <c r="B91" s="1">
        <f t="shared" si="16"/>
        <v>60</v>
      </c>
      <c r="C91" s="1">
        <f t="shared" si="3"/>
        <v>60</v>
      </c>
      <c r="D91" s="25">
        <v>2.22454152756438E-2</v>
      </c>
      <c r="E91" s="2">
        <f t="shared" si="4"/>
        <v>90622.851962248053</v>
      </c>
      <c r="F91" s="3">
        <f t="shared" si="17"/>
        <v>0.04</v>
      </c>
      <c r="G91" s="2">
        <f t="shared" si="18"/>
        <v>477.4153</v>
      </c>
      <c r="H91" s="2">
        <f t="shared" si="19"/>
        <v>302.07617320749353</v>
      </c>
      <c r="I91" s="2">
        <f t="shared" si="20"/>
        <v>175.33912679250648</v>
      </c>
      <c r="J91" s="2">
        <f t="shared" si="5"/>
        <v>90447.512835455549</v>
      </c>
      <c r="K91" s="2" t="e">
        <f t="shared" si="24"/>
        <v>#VALUE!</v>
      </c>
      <c r="L91" s="9">
        <v>1.6821425527395739E-3</v>
      </c>
      <c r="M91" s="2" t="e">
        <f t="shared" si="6"/>
        <v>#VALUE!</v>
      </c>
      <c r="N91" s="3">
        <f t="shared" si="7"/>
        <v>0.04</v>
      </c>
      <c r="O91" s="2" t="e">
        <f t="shared" si="8"/>
        <v>#VALUE!</v>
      </c>
      <c r="P91" s="10">
        <f t="shared" si="0"/>
        <v>0.90447512835455546</v>
      </c>
      <c r="Q91" s="13"/>
      <c r="R91" s="2" t="e">
        <f t="shared" si="21"/>
        <v>#VALUE!</v>
      </c>
      <c r="S91" s="2" t="e">
        <f t="shared" si="22"/>
        <v>#VALUE!</v>
      </c>
      <c r="T91" s="2" t="e">
        <f t="shared" ca="1" si="9"/>
        <v>#VALUE!</v>
      </c>
      <c r="U91" s="2" t="e">
        <f t="shared" si="23"/>
        <v>#VALUE!</v>
      </c>
      <c r="V91" s="2" t="e">
        <f t="shared" si="10"/>
        <v>#VALUE!</v>
      </c>
      <c r="W91" s="2">
        <f t="shared" si="11"/>
        <v>477.4153</v>
      </c>
      <c r="X91" s="2" t="e">
        <f t="shared" ca="1" si="12"/>
        <v>#VALUE!</v>
      </c>
      <c r="Y91" s="2" t="e">
        <f t="shared" ca="1" si="13"/>
        <v>#VALUE!</v>
      </c>
      <c r="Z91" s="10">
        <f t="shared" si="14"/>
        <v>0.81900310370446261</v>
      </c>
      <c r="AA91" s="10" t="e">
        <f t="shared" ca="1" si="1"/>
        <v>#VALUE!</v>
      </c>
      <c r="AB91" s="11" t="e">
        <f t="shared" si="15"/>
        <v>#VALUE!</v>
      </c>
      <c r="AC91" s="11" t="e">
        <f>SUM($S$31:S91)/$V$31</f>
        <v>#VALUE!</v>
      </c>
      <c r="AD91" s="11" t="e">
        <f>SUM($S$31:S91,$R$31:R91,$T$31:T91)/$V$31</f>
        <v>#VALUE!</v>
      </c>
      <c r="AE91" s="11" t="e">
        <f>SUM($M$31:M91)/$V$31</f>
        <v>#VALUE!</v>
      </c>
      <c r="AF91" s="11" t="e">
        <f ca="1">SUM(SUM($M$31:M91),-SUM($T$31:T91))/$V$31</f>
        <v>#VALUE!</v>
      </c>
      <c r="AG91">
        <f t="shared" si="2"/>
        <v>3660</v>
      </c>
    </row>
    <row r="92" spans="2:33" x14ac:dyDescent="0.15">
      <c r="B92" s="1">
        <f t="shared" si="16"/>
        <v>61</v>
      </c>
      <c r="C92" s="1">
        <f t="shared" si="3"/>
        <v>61</v>
      </c>
      <c r="D92" s="25">
        <v>2.26968308938536E-2</v>
      </c>
      <c r="E92" s="2">
        <f t="shared" si="4"/>
        <v>90447.512835455549</v>
      </c>
      <c r="F92" s="3">
        <f t="shared" si="17"/>
        <v>0.04</v>
      </c>
      <c r="G92" s="2">
        <f t="shared" si="18"/>
        <v>477.4153</v>
      </c>
      <c r="H92" s="2">
        <f t="shared" si="19"/>
        <v>301.49170945151849</v>
      </c>
      <c r="I92" s="2">
        <f t="shared" si="20"/>
        <v>175.92359054848151</v>
      </c>
      <c r="J92" s="2">
        <f t="shared" si="5"/>
        <v>90271.589244907067</v>
      </c>
      <c r="K92" s="2" t="e">
        <f t="shared" si="24"/>
        <v>#VALUE!</v>
      </c>
      <c r="L92" s="9">
        <v>1.6821425527395739E-3</v>
      </c>
      <c r="M92" s="2" t="e">
        <f t="shared" si="6"/>
        <v>#VALUE!</v>
      </c>
      <c r="N92" s="3">
        <f t="shared" si="7"/>
        <v>0.04</v>
      </c>
      <c r="O92" s="2" t="e">
        <f t="shared" si="8"/>
        <v>#VALUE!</v>
      </c>
      <c r="P92" s="10">
        <f t="shared" si="0"/>
        <v>0.90271589244907069</v>
      </c>
      <c r="Q92" s="13"/>
      <c r="R92" s="2" t="e">
        <f t="shared" si="21"/>
        <v>#VALUE!</v>
      </c>
      <c r="S92" s="2" t="e">
        <f t="shared" si="22"/>
        <v>#VALUE!</v>
      </c>
      <c r="T92" s="2" t="e">
        <f t="shared" ca="1" si="9"/>
        <v>#VALUE!</v>
      </c>
      <c r="U92" s="2" t="e">
        <f t="shared" si="23"/>
        <v>#VALUE!</v>
      </c>
      <c r="V92" s="2" t="e">
        <f t="shared" si="10"/>
        <v>#VALUE!</v>
      </c>
      <c r="W92" s="2">
        <f t="shared" si="11"/>
        <v>477.4153</v>
      </c>
      <c r="X92" s="2" t="e">
        <f t="shared" ca="1" si="12"/>
        <v>#VALUE!</v>
      </c>
      <c r="Y92" s="2" t="e">
        <f t="shared" ca="1" si="13"/>
        <v>#VALUE!</v>
      </c>
      <c r="Z92" s="10">
        <f t="shared" si="14"/>
        <v>0.81628216316129021</v>
      </c>
      <c r="AA92" s="10" t="e">
        <f t="shared" ca="1" si="1"/>
        <v>#VALUE!</v>
      </c>
      <c r="AB92" s="11" t="e">
        <f t="shared" si="15"/>
        <v>#VALUE!</v>
      </c>
      <c r="AC92" s="11" t="e">
        <f>SUM($S$31:S92)/$V$31</f>
        <v>#VALUE!</v>
      </c>
      <c r="AD92" s="11" t="e">
        <f>SUM($S$31:S92,$R$31:R92,$T$31:T92)/$V$31</f>
        <v>#VALUE!</v>
      </c>
      <c r="AE92" s="11" t="e">
        <f>SUM($M$31:M92)/$V$31</f>
        <v>#VALUE!</v>
      </c>
      <c r="AF92" s="11" t="e">
        <f ca="1">SUM(SUM($M$31:M92),-SUM($T$31:T92))/$V$31</f>
        <v>#VALUE!</v>
      </c>
      <c r="AG92">
        <f t="shared" si="2"/>
        <v>3782</v>
      </c>
    </row>
    <row r="93" spans="2:33" x14ac:dyDescent="0.15">
      <c r="B93" s="1">
        <f t="shared" si="16"/>
        <v>62</v>
      </c>
      <c r="C93" s="1">
        <f t="shared" si="3"/>
        <v>62</v>
      </c>
      <c r="D93" s="25">
        <v>2.3139980565946398E-2</v>
      </c>
      <c r="E93" s="2">
        <f t="shared" si="4"/>
        <v>90271.589244907067</v>
      </c>
      <c r="F93" s="3">
        <f t="shared" si="17"/>
        <v>0.04</v>
      </c>
      <c r="G93" s="2">
        <f t="shared" si="18"/>
        <v>477.4153</v>
      </c>
      <c r="H93" s="2">
        <f t="shared" si="19"/>
        <v>300.90529748302356</v>
      </c>
      <c r="I93" s="2">
        <f t="shared" si="20"/>
        <v>176.51000251697644</v>
      </c>
      <c r="J93" s="2">
        <f t="shared" si="5"/>
        <v>90095.079242390086</v>
      </c>
      <c r="K93" s="2" t="e">
        <f t="shared" si="24"/>
        <v>#VALUE!</v>
      </c>
      <c r="L93" s="9">
        <v>1.6821425527395739E-3</v>
      </c>
      <c r="M93" s="2" t="e">
        <f t="shared" si="6"/>
        <v>#VALUE!</v>
      </c>
      <c r="N93" s="3">
        <f t="shared" si="7"/>
        <v>0.04</v>
      </c>
      <c r="O93" s="2" t="e">
        <f t="shared" si="8"/>
        <v>#VALUE!</v>
      </c>
      <c r="P93" s="10">
        <f t="shared" si="0"/>
        <v>0.90095079242390086</v>
      </c>
      <c r="Q93" s="13"/>
      <c r="R93" s="2" t="e">
        <f t="shared" si="21"/>
        <v>#VALUE!</v>
      </c>
      <c r="S93" s="2" t="e">
        <f t="shared" si="22"/>
        <v>#VALUE!</v>
      </c>
      <c r="T93" s="2" t="e">
        <f t="shared" ca="1" si="9"/>
        <v>#VALUE!</v>
      </c>
      <c r="U93" s="2" t="e">
        <f t="shared" si="23"/>
        <v>#VALUE!</v>
      </c>
      <c r="V93" s="2" t="e">
        <f t="shared" si="10"/>
        <v>#VALUE!</v>
      </c>
      <c r="W93" s="2">
        <f t="shared" si="11"/>
        <v>477.4153</v>
      </c>
      <c r="X93" s="2" t="e">
        <f t="shared" ca="1" si="12"/>
        <v>#VALUE!</v>
      </c>
      <c r="Y93" s="2" t="e">
        <f t="shared" ca="1" si="13"/>
        <v>#VALUE!</v>
      </c>
      <c r="Z93" s="10">
        <f t="shared" si="14"/>
        <v>0.81357026228769369</v>
      </c>
      <c r="AA93" s="10" t="e">
        <f t="shared" ca="1" si="1"/>
        <v>#VALUE!</v>
      </c>
      <c r="AB93" s="11" t="e">
        <f t="shared" si="15"/>
        <v>#VALUE!</v>
      </c>
      <c r="AC93" s="11" t="e">
        <f>SUM($S$31:S93)/$V$31</f>
        <v>#VALUE!</v>
      </c>
      <c r="AD93" s="11" t="e">
        <f>SUM($S$31:S93,$R$31:R93,$T$31:T93)/$V$31</f>
        <v>#VALUE!</v>
      </c>
      <c r="AE93" s="11" t="e">
        <f>SUM($M$31:M93)/$V$31</f>
        <v>#VALUE!</v>
      </c>
      <c r="AF93" s="11" t="e">
        <f ca="1">SUM(SUM($M$31:M93),-SUM($T$31:T93))/$V$31</f>
        <v>#VALUE!</v>
      </c>
      <c r="AG93">
        <f t="shared" si="2"/>
        <v>3906</v>
      </c>
    </row>
    <row r="94" spans="2:33" x14ac:dyDescent="0.15">
      <c r="B94" s="1">
        <f t="shared" si="16"/>
        <v>63</v>
      </c>
      <c r="C94" s="1">
        <f t="shared" si="3"/>
        <v>63</v>
      </c>
      <c r="D94" s="25">
        <v>2.3578211210315302E-2</v>
      </c>
      <c r="E94" s="2">
        <f t="shared" si="4"/>
        <v>90095.079242390086</v>
      </c>
      <c r="F94" s="3">
        <f t="shared" si="17"/>
        <v>0.04</v>
      </c>
      <c r="G94" s="2">
        <f t="shared" si="18"/>
        <v>477.4153</v>
      </c>
      <c r="H94" s="2">
        <f t="shared" si="19"/>
        <v>300.31693080796697</v>
      </c>
      <c r="I94" s="2">
        <f t="shared" si="20"/>
        <v>177.09836919203303</v>
      </c>
      <c r="J94" s="2">
        <f t="shared" si="5"/>
        <v>89917.980873198059</v>
      </c>
      <c r="K94" s="2" t="e">
        <f t="shared" si="24"/>
        <v>#VALUE!</v>
      </c>
      <c r="L94" s="9">
        <v>1.6821425527395739E-3</v>
      </c>
      <c r="M94" s="2" t="e">
        <f t="shared" si="6"/>
        <v>#VALUE!</v>
      </c>
      <c r="N94" s="3">
        <f t="shared" si="7"/>
        <v>0.04</v>
      </c>
      <c r="O94" s="2" t="e">
        <f t="shared" si="8"/>
        <v>#VALUE!</v>
      </c>
      <c r="P94" s="10">
        <f t="shared" si="0"/>
        <v>0.89917980873198056</v>
      </c>
      <c r="Q94" s="13"/>
      <c r="R94" s="2" t="e">
        <f t="shared" si="21"/>
        <v>#VALUE!</v>
      </c>
      <c r="S94" s="2" t="e">
        <f t="shared" si="22"/>
        <v>#VALUE!</v>
      </c>
      <c r="T94" s="2" t="e">
        <f t="shared" ca="1" si="9"/>
        <v>#VALUE!</v>
      </c>
      <c r="U94" s="2" t="e">
        <f t="shared" si="23"/>
        <v>#VALUE!</v>
      </c>
      <c r="V94" s="2" t="e">
        <f t="shared" si="10"/>
        <v>#VALUE!</v>
      </c>
      <c r="W94" s="2">
        <f t="shared" si="11"/>
        <v>477.4153</v>
      </c>
      <c r="X94" s="2" t="e">
        <f t="shared" ca="1" si="12"/>
        <v>#VALUE!</v>
      </c>
      <c r="Y94" s="2" t="e">
        <f t="shared" ca="1" si="13"/>
        <v>#VALUE!</v>
      </c>
      <c r="Z94" s="10">
        <f t="shared" si="14"/>
        <v>0.81086737105154938</v>
      </c>
      <c r="AA94" s="10" t="e">
        <f t="shared" ca="1" si="1"/>
        <v>#VALUE!</v>
      </c>
      <c r="AB94" s="11" t="e">
        <f t="shared" si="15"/>
        <v>#VALUE!</v>
      </c>
      <c r="AC94" s="11" t="e">
        <f>SUM($S$31:S94)/$V$31</f>
        <v>#VALUE!</v>
      </c>
      <c r="AD94" s="11" t="e">
        <f>SUM($S$31:S94,$R$31:R94,$T$31:T94)/$V$31</f>
        <v>#VALUE!</v>
      </c>
      <c r="AE94" s="11" t="e">
        <f>SUM($M$31:M94)/$V$31</f>
        <v>#VALUE!</v>
      </c>
      <c r="AF94" s="11" t="e">
        <f ca="1">SUM(SUM($M$31:M94),-SUM($T$31:T94))/$V$31</f>
        <v>#VALUE!</v>
      </c>
      <c r="AG94">
        <f t="shared" si="2"/>
        <v>4032</v>
      </c>
    </row>
    <row r="95" spans="2:33" x14ac:dyDescent="0.15">
      <c r="B95" s="1">
        <f t="shared" si="16"/>
        <v>64</v>
      </c>
      <c r="C95" s="1">
        <f t="shared" si="3"/>
        <v>64</v>
      </c>
      <c r="D95" s="25">
        <v>2.3999689665172397E-2</v>
      </c>
      <c r="E95" s="2">
        <f t="shared" si="4"/>
        <v>89917.980873198059</v>
      </c>
      <c r="F95" s="3">
        <f t="shared" si="17"/>
        <v>0.04</v>
      </c>
      <c r="G95" s="2">
        <f t="shared" si="18"/>
        <v>477.4153</v>
      </c>
      <c r="H95" s="2">
        <f t="shared" si="19"/>
        <v>299.72660291066023</v>
      </c>
      <c r="I95" s="2">
        <f t="shared" si="20"/>
        <v>177.68869708933977</v>
      </c>
      <c r="J95" s="2">
        <f t="shared" si="5"/>
        <v>89740.29217610872</v>
      </c>
      <c r="K95" s="2" t="e">
        <f t="shared" si="24"/>
        <v>#VALUE!</v>
      </c>
      <c r="L95" s="9">
        <v>1.6821425527395739E-3</v>
      </c>
      <c r="M95" s="2" t="e">
        <f t="shared" si="6"/>
        <v>#VALUE!</v>
      </c>
      <c r="N95" s="3">
        <f t="shared" si="7"/>
        <v>0.04</v>
      </c>
      <c r="O95" s="2" t="e">
        <f t="shared" si="8"/>
        <v>#VALUE!</v>
      </c>
      <c r="P95" s="10">
        <f t="shared" ref="P95:P158" si="25">J95/$J$31</f>
        <v>0.89740292176108716</v>
      </c>
      <c r="Q95" s="13"/>
      <c r="R95" s="2" t="e">
        <f t="shared" si="21"/>
        <v>#VALUE!</v>
      </c>
      <c r="S95" s="2" t="e">
        <f t="shared" si="22"/>
        <v>#VALUE!</v>
      </c>
      <c r="T95" s="2" t="e">
        <f t="shared" ca="1" si="9"/>
        <v>#VALUE!</v>
      </c>
      <c r="U95" s="2" t="e">
        <f t="shared" si="23"/>
        <v>#VALUE!</v>
      </c>
      <c r="V95" s="2" t="e">
        <f t="shared" si="10"/>
        <v>#VALUE!</v>
      </c>
      <c r="W95" s="2">
        <f t="shared" si="11"/>
        <v>477.4153</v>
      </c>
      <c r="X95" s="2" t="e">
        <f t="shared" ca="1" si="12"/>
        <v>#VALUE!</v>
      </c>
      <c r="Y95" s="2" t="e">
        <f t="shared" ca="1" si="13"/>
        <v>#VALUE!</v>
      </c>
      <c r="Z95" s="10">
        <f t="shared" si="14"/>
        <v>0.80817345952050579</v>
      </c>
      <c r="AA95" s="10" t="e">
        <f t="shared" ref="AA95:AA158" ca="1" si="26">1/((1+$Y$4/12)^B95)</f>
        <v>#VALUE!</v>
      </c>
      <c r="AB95" s="11" t="e">
        <f t="shared" si="15"/>
        <v>#VALUE!</v>
      </c>
      <c r="AC95" s="11" t="e">
        <f>SUM($S$31:S95)/$V$31</f>
        <v>#VALUE!</v>
      </c>
      <c r="AD95" s="11" t="e">
        <f>SUM($S$31:S95,$R$31:R95,$T$31:T95)/$V$31</f>
        <v>#VALUE!</v>
      </c>
      <c r="AE95" s="11" t="e">
        <f>SUM($M$31:M95)/$V$31</f>
        <v>#VALUE!</v>
      </c>
      <c r="AF95" s="11" t="e">
        <f ca="1">SUM(SUM($M$31:M95),-SUM($T$31:T95))/$V$31</f>
        <v>#VALUE!</v>
      </c>
      <c r="AG95">
        <f t="shared" ref="AG95:AG158" si="27">B95^2+B95</f>
        <v>4160</v>
      </c>
    </row>
    <row r="96" spans="2:33" x14ac:dyDescent="0.15">
      <c r="B96" s="1">
        <f t="shared" si="16"/>
        <v>65</v>
      </c>
      <c r="C96" s="1">
        <f t="shared" ref="C96:C159" si="28">B96+($E$4-$F$4)</f>
        <v>65</v>
      </c>
      <c r="D96" s="25">
        <v>2.4401963547018003E-2</v>
      </c>
      <c r="E96" s="2">
        <f t="shared" ref="E96:E159" si="29">J95</f>
        <v>89740.29217610872</v>
      </c>
      <c r="F96" s="3">
        <f t="shared" si="17"/>
        <v>0.04</v>
      </c>
      <c r="G96" s="2">
        <f t="shared" si="18"/>
        <v>477.4153</v>
      </c>
      <c r="H96" s="2">
        <f t="shared" si="19"/>
        <v>299.13430725369574</v>
      </c>
      <c r="I96" s="2">
        <f t="shared" si="20"/>
        <v>178.28099274630426</v>
      </c>
      <c r="J96" s="2">
        <f t="shared" ref="J96:J159" si="30">E96-I96</f>
        <v>89562.011183362411</v>
      </c>
      <c r="K96" s="2" t="e">
        <f t="shared" si="24"/>
        <v>#VALUE!</v>
      </c>
      <c r="L96" s="9">
        <v>1.6821425527395739E-3</v>
      </c>
      <c r="M96" s="2" t="e">
        <f t="shared" ref="M96:M159" si="31">L96*K96</f>
        <v>#VALUE!</v>
      </c>
      <c r="N96" s="3">
        <f t="shared" ref="N96:N159" si="32">F96</f>
        <v>0.04</v>
      </c>
      <c r="O96" s="2" t="e">
        <f t="shared" ref="O96:O159" si="33">(K96-M96)*N96/12</f>
        <v>#VALUE!</v>
      </c>
      <c r="P96" s="10">
        <f t="shared" si="25"/>
        <v>0.89562011183362411</v>
      </c>
      <c r="Q96" s="13"/>
      <c r="R96" s="2" t="e">
        <f t="shared" si="21"/>
        <v>#VALUE!</v>
      </c>
      <c r="S96" s="2" t="e">
        <f t="shared" si="22"/>
        <v>#VALUE!</v>
      </c>
      <c r="T96" s="2" t="e">
        <f t="shared" ref="T96:T159" ca="1" si="34">IF(B96&gt;=$S$4,OFFSET(M96,-$S$4,0)*$R$4,0)</f>
        <v>#VALUE!</v>
      </c>
      <c r="U96" s="2" t="e">
        <f t="shared" si="23"/>
        <v>#VALUE!</v>
      </c>
      <c r="V96" s="2" t="e">
        <f t="shared" ref="V96:V159" si="35">K96-M96-R96-S96</f>
        <v>#VALUE!</v>
      </c>
      <c r="W96" s="2">
        <f t="shared" ref="W96:W159" si="36">H96+I96</f>
        <v>477.4153</v>
      </c>
      <c r="X96" s="2" t="e">
        <f t="shared" ref="X96:X159" ca="1" si="37">S96+T96</f>
        <v>#VALUE!</v>
      </c>
      <c r="Y96" s="2" t="e">
        <f t="shared" ref="Y96:Y159" ca="1" si="38">O96+R96+S96+T96</f>
        <v>#VALUE!</v>
      </c>
      <c r="Z96" s="10">
        <f t="shared" ref="Z96:Z159" si="39">1/((1+$X$4/12)^B96)</f>
        <v>0.80548849786165622</v>
      </c>
      <c r="AA96" s="10" t="e">
        <f t="shared" ca="1" si="26"/>
        <v>#VALUE!</v>
      </c>
      <c r="AB96" s="11" t="e">
        <f t="shared" ref="AB96:AB159" si="40">V96/$V$31</f>
        <v>#VALUE!</v>
      </c>
      <c r="AC96" s="11" t="e">
        <f>SUM($S$31:S96)/$V$31</f>
        <v>#VALUE!</v>
      </c>
      <c r="AD96" s="11" t="e">
        <f>SUM($S$31:S96,$R$31:R96,$T$31:T96)/$V$31</f>
        <v>#VALUE!</v>
      </c>
      <c r="AE96" s="11" t="e">
        <f>SUM($M$31:M96)/$V$31</f>
        <v>#VALUE!</v>
      </c>
      <c r="AF96" s="11" t="e">
        <f ca="1">SUM(SUM($M$31:M96),-SUM($T$31:T96))/$V$31</f>
        <v>#VALUE!</v>
      </c>
      <c r="AG96">
        <f t="shared" si="27"/>
        <v>4290</v>
      </c>
    </row>
    <row r="97" spans="2:33" x14ac:dyDescent="0.15">
      <c r="B97" s="1">
        <f t="shared" ref="B97:B160" si="41">B96+1</f>
        <v>66</v>
      </c>
      <c r="C97" s="1">
        <f t="shared" si="28"/>
        <v>66</v>
      </c>
      <c r="D97" s="25">
        <v>2.4787590486213901E-2</v>
      </c>
      <c r="E97" s="2">
        <f t="shared" si="29"/>
        <v>89562.011183362411</v>
      </c>
      <c r="F97" s="3">
        <f t="shared" ref="F97:F160" si="42">MIN(MAX(IF($G$4="Fixed",0,D97)+$H$4,F96-$J$4,$M$4),F96+$K$4,$L$4)</f>
        <v>0.04</v>
      </c>
      <c r="G97" s="2">
        <f t="shared" ref="G97:G160" si="43">IF(C97&lt;=$E$4,MIN(ROUND((E97*(F97/12)*(1+F97/12)^($E$4-C96))/((1+F97/12)^($E$4-C96)-1),4),E97+H97),0)</f>
        <v>477.4153</v>
      </c>
      <c r="H97" s="2">
        <f t="shared" ref="H97:H160" si="44">F97/12*E97</f>
        <v>298.54003727787472</v>
      </c>
      <c r="I97" s="2">
        <f t="shared" ref="I97:I160" si="45">G97-H97</f>
        <v>178.87526272212529</v>
      </c>
      <c r="J97" s="2">
        <f t="shared" si="30"/>
        <v>89383.135920640285</v>
      </c>
      <c r="K97" s="2" t="e">
        <f t="shared" si="24"/>
        <v>#VALUE!</v>
      </c>
      <c r="L97" s="9">
        <v>1.6821425527395739E-3</v>
      </c>
      <c r="M97" s="2" t="e">
        <f t="shared" si="31"/>
        <v>#VALUE!</v>
      </c>
      <c r="N97" s="3">
        <f t="shared" si="32"/>
        <v>0.04</v>
      </c>
      <c r="O97" s="2" t="e">
        <f t="shared" si="33"/>
        <v>#VALUE!</v>
      </c>
      <c r="P97" s="10">
        <f t="shared" si="25"/>
        <v>0.89383135920640289</v>
      </c>
      <c r="Q97" s="13"/>
      <c r="R97" s="2" t="e">
        <f t="shared" ref="R97:R160" si="46">IF(C97&lt;=$E$4,(K97-M97)*P97/P96*Q97,0)</f>
        <v>#VALUE!</v>
      </c>
      <c r="S97" s="2" t="e">
        <f t="shared" ref="S97:S160" si="47">IF(C97&lt;=$E$4,(K97-M97)*(1-P97/P96),0)</f>
        <v>#VALUE!</v>
      </c>
      <c r="T97" s="2" t="e">
        <f t="shared" ca="1" si="34"/>
        <v>#VALUE!</v>
      </c>
      <c r="U97" s="2" t="e">
        <f t="shared" ref="U97:U160" si="48">R97+S97</f>
        <v>#VALUE!</v>
      </c>
      <c r="V97" s="2" t="e">
        <f t="shared" si="35"/>
        <v>#VALUE!</v>
      </c>
      <c r="W97" s="2">
        <f t="shared" si="36"/>
        <v>477.4153</v>
      </c>
      <c r="X97" s="2" t="e">
        <f t="shared" ca="1" si="37"/>
        <v>#VALUE!</v>
      </c>
      <c r="Y97" s="2" t="e">
        <f t="shared" ca="1" si="38"/>
        <v>#VALUE!</v>
      </c>
      <c r="Z97" s="10">
        <f t="shared" si="39"/>
        <v>0.80281245634120579</v>
      </c>
      <c r="AA97" s="10" t="e">
        <f t="shared" ca="1" si="26"/>
        <v>#VALUE!</v>
      </c>
      <c r="AB97" s="11" t="e">
        <f t="shared" si="40"/>
        <v>#VALUE!</v>
      </c>
      <c r="AC97" s="11" t="e">
        <f>SUM($S$31:S97)/$V$31</f>
        <v>#VALUE!</v>
      </c>
      <c r="AD97" s="11" t="e">
        <f>SUM($S$31:S97,$R$31:R97,$T$31:T97)/$V$31</f>
        <v>#VALUE!</v>
      </c>
      <c r="AE97" s="11" t="e">
        <f>SUM($M$31:M97)/$V$31</f>
        <v>#VALUE!</v>
      </c>
      <c r="AF97" s="11" t="e">
        <f ca="1">SUM(SUM($M$31:M97),-SUM($T$31:T97))/$V$31</f>
        <v>#VALUE!</v>
      </c>
      <c r="AG97">
        <f t="shared" si="27"/>
        <v>4422</v>
      </c>
    </row>
    <row r="98" spans="2:33" x14ac:dyDescent="0.15">
      <c r="B98" s="1">
        <f t="shared" si="41"/>
        <v>67</v>
      </c>
      <c r="C98" s="1">
        <f t="shared" si="28"/>
        <v>67</v>
      </c>
      <c r="D98" s="25">
        <v>2.5160475371490302E-2</v>
      </c>
      <c r="E98" s="2">
        <f t="shared" si="29"/>
        <v>89383.135920640285</v>
      </c>
      <c r="F98" s="3">
        <f t="shared" si="42"/>
        <v>0.04</v>
      </c>
      <c r="G98" s="2">
        <f t="shared" si="43"/>
        <v>477.4153</v>
      </c>
      <c r="H98" s="2">
        <f t="shared" si="44"/>
        <v>297.94378640213432</v>
      </c>
      <c r="I98" s="2">
        <f t="shared" si="45"/>
        <v>179.47151359786568</v>
      </c>
      <c r="J98" s="2">
        <f t="shared" si="30"/>
        <v>89203.664407042423</v>
      </c>
      <c r="K98" s="2" t="e">
        <f t="shared" ref="K98:K161" si="49">V97</f>
        <v>#VALUE!</v>
      </c>
      <c r="L98" s="9">
        <v>1.6821425527395739E-3</v>
      </c>
      <c r="M98" s="2" t="e">
        <f t="shared" si="31"/>
        <v>#VALUE!</v>
      </c>
      <c r="N98" s="3">
        <f t="shared" si="32"/>
        <v>0.04</v>
      </c>
      <c r="O98" s="2" t="e">
        <f t="shared" si="33"/>
        <v>#VALUE!</v>
      </c>
      <c r="P98" s="10">
        <f t="shared" si="25"/>
        <v>0.89203664407042427</v>
      </c>
      <c r="Q98" s="13"/>
      <c r="R98" s="2" t="e">
        <f t="shared" si="46"/>
        <v>#VALUE!</v>
      </c>
      <c r="S98" s="2" t="e">
        <f t="shared" si="47"/>
        <v>#VALUE!</v>
      </c>
      <c r="T98" s="2" t="e">
        <f t="shared" ca="1" si="34"/>
        <v>#VALUE!</v>
      </c>
      <c r="U98" s="2" t="e">
        <f t="shared" si="48"/>
        <v>#VALUE!</v>
      </c>
      <c r="V98" s="2" t="e">
        <f t="shared" si="35"/>
        <v>#VALUE!</v>
      </c>
      <c r="W98" s="2">
        <f t="shared" si="36"/>
        <v>477.4153</v>
      </c>
      <c r="X98" s="2" t="e">
        <f t="shared" ca="1" si="37"/>
        <v>#VALUE!</v>
      </c>
      <c r="Y98" s="2" t="e">
        <f t="shared" ca="1" si="38"/>
        <v>#VALUE!</v>
      </c>
      <c r="Z98" s="10">
        <f t="shared" si="39"/>
        <v>0.8001453053241433</v>
      </c>
      <c r="AA98" s="10" t="e">
        <f t="shared" ca="1" si="26"/>
        <v>#VALUE!</v>
      </c>
      <c r="AB98" s="11" t="e">
        <f t="shared" si="40"/>
        <v>#VALUE!</v>
      </c>
      <c r="AC98" s="11" t="e">
        <f>SUM($S$31:S98)/$V$31</f>
        <v>#VALUE!</v>
      </c>
      <c r="AD98" s="11" t="e">
        <f>SUM($S$31:S98,$R$31:R98,$T$31:T98)/$V$31</f>
        <v>#VALUE!</v>
      </c>
      <c r="AE98" s="11" t="e">
        <f>SUM($M$31:M98)/$V$31</f>
        <v>#VALUE!</v>
      </c>
      <c r="AF98" s="11" t="e">
        <f ca="1">SUM(SUM($M$31:M98),-SUM($T$31:T98))/$V$31</f>
        <v>#VALUE!</v>
      </c>
      <c r="AG98">
        <f t="shared" si="27"/>
        <v>4556</v>
      </c>
    </row>
    <row r="99" spans="2:33" x14ac:dyDescent="0.15">
      <c r="B99" s="1">
        <f t="shared" si="41"/>
        <v>68</v>
      </c>
      <c r="C99" s="1">
        <f t="shared" si="28"/>
        <v>68</v>
      </c>
      <c r="D99" s="25">
        <v>2.55085121700282E-2</v>
      </c>
      <c r="E99" s="2">
        <f t="shared" si="29"/>
        <v>89203.664407042423</v>
      </c>
      <c r="F99" s="3">
        <f t="shared" si="42"/>
        <v>0.04</v>
      </c>
      <c r="G99" s="2">
        <f t="shared" si="43"/>
        <v>477.4153</v>
      </c>
      <c r="H99" s="2">
        <f t="shared" si="44"/>
        <v>297.34554802347475</v>
      </c>
      <c r="I99" s="2">
        <f t="shared" si="45"/>
        <v>180.06975197652525</v>
      </c>
      <c r="J99" s="2">
        <f t="shared" si="30"/>
        <v>89023.594655065899</v>
      </c>
      <c r="K99" s="2" t="e">
        <f t="shared" si="49"/>
        <v>#VALUE!</v>
      </c>
      <c r="L99" s="9">
        <v>1.6821425527395739E-3</v>
      </c>
      <c r="M99" s="2" t="e">
        <f t="shared" si="31"/>
        <v>#VALUE!</v>
      </c>
      <c r="N99" s="3">
        <f t="shared" si="32"/>
        <v>0.04</v>
      </c>
      <c r="O99" s="2" t="e">
        <f t="shared" si="33"/>
        <v>#VALUE!</v>
      </c>
      <c r="P99" s="10">
        <f t="shared" si="25"/>
        <v>0.89023594655065896</v>
      </c>
      <c r="Q99" s="13"/>
      <c r="R99" s="2" t="e">
        <f t="shared" si="46"/>
        <v>#VALUE!</v>
      </c>
      <c r="S99" s="2" t="e">
        <f t="shared" si="47"/>
        <v>#VALUE!</v>
      </c>
      <c r="T99" s="2" t="e">
        <f t="shared" ca="1" si="34"/>
        <v>#VALUE!</v>
      </c>
      <c r="U99" s="2" t="e">
        <f t="shared" si="48"/>
        <v>#VALUE!</v>
      </c>
      <c r="V99" s="2" t="e">
        <f t="shared" si="35"/>
        <v>#VALUE!</v>
      </c>
      <c r="W99" s="2">
        <f t="shared" si="36"/>
        <v>477.4153</v>
      </c>
      <c r="X99" s="2" t="e">
        <f t="shared" ca="1" si="37"/>
        <v>#VALUE!</v>
      </c>
      <c r="Y99" s="2" t="e">
        <f t="shared" ca="1" si="38"/>
        <v>#VALUE!</v>
      </c>
      <c r="Z99" s="10">
        <f t="shared" si="39"/>
        <v>0.79748701527391264</v>
      </c>
      <c r="AA99" s="10" t="e">
        <f t="shared" ca="1" si="26"/>
        <v>#VALUE!</v>
      </c>
      <c r="AB99" s="11" t="e">
        <f t="shared" si="40"/>
        <v>#VALUE!</v>
      </c>
      <c r="AC99" s="11" t="e">
        <f>SUM($S$31:S99)/$V$31</f>
        <v>#VALUE!</v>
      </c>
      <c r="AD99" s="11" t="e">
        <f>SUM($S$31:S99,$R$31:R99,$T$31:T99)/$V$31</f>
        <v>#VALUE!</v>
      </c>
      <c r="AE99" s="11" t="e">
        <f>SUM($M$31:M99)/$V$31</f>
        <v>#VALUE!</v>
      </c>
      <c r="AF99" s="11" t="e">
        <f ca="1">SUM(SUM($M$31:M99),-SUM($T$31:T99))/$V$31</f>
        <v>#VALUE!</v>
      </c>
      <c r="AG99">
        <f t="shared" si="27"/>
        <v>4692</v>
      </c>
    </row>
    <row r="100" spans="2:33" x14ac:dyDescent="0.15">
      <c r="B100" s="1">
        <f t="shared" si="41"/>
        <v>69</v>
      </c>
      <c r="C100" s="1">
        <f t="shared" si="28"/>
        <v>69</v>
      </c>
      <c r="D100" s="25">
        <v>2.5840048647114703E-2</v>
      </c>
      <c r="E100" s="2">
        <f t="shared" si="29"/>
        <v>89023.594655065899</v>
      </c>
      <c r="F100" s="3">
        <f t="shared" si="42"/>
        <v>0.04</v>
      </c>
      <c r="G100" s="2">
        <f t="shared" si="43"/>
        <v>477.4153</v>
      </c>
      <c r="H100" s="2">
        <f t="shared" si="44"/>
        <v>296.74531551688636</v>
      </c>
      <c r="I100" s="2">
        <f t="shared" si="45"/>
        <v>180.66998448311364</v>
      </c>
      <c r="J100" s="2">
        <f t="shared" si="30"/>
        <v>88842.924670582783</v>
      </c>
      <c r="K100" s="2" t="e">
        <f t="shared" si="49"/>
        <v>#VALUE!</v>
      </c>
      <c r="L100" s="9">
        <v>1.6821425527395739E-3</v>
      </c>
      <c r="M100" s="2" t="e">
        <f t="shared" si="31"/>
        <v>#VALUE!</v>
      </c>
      <c r="N100" s="3">
        <f t="shared" si="32"/>
        <v>0.04</v>
      </c>
      <c r="O100" s="2" t="e">
        <f t="shared" si="33"/>
        <v>#VALUE!</v>
      </c>
      <c r="P100" s="10">
        <f t="shared" si="25"/>
        <v>0.88842924670582779</v>
      </c>
      <c r="Q100" s="13"/>
      <c r="R100" s="2" t="e">
        <f t="shared" si="46"/>
        <v>#VALUE!</v>
      </c>
      <c r="S100" s="2" t="e">
        <f t="shared" si="47"/>
        <v>#VALUE!</v>
      </c>
      <c r="T100" s="2" t="e">
        <f t="shared" ca="1" si="34"/>
        <v>#VALUE!</v>
      </c>
      <c r="U100" s="2" t="e">
        <f t="shared" si="48"/>
        <v>#VALUE!</v>
      </c>
      <c r="V100" s="2" t="e">
        <f t="shared" si="35"/>
        <v>#VALUE!</v>
      </c>
      <c r="W100" s="2">
        <f t="shared" si="36"/>
        <v>477.4153</v>
      </c>
      <c r="X100" s="2" t="e">
        <f t="shared" ca="1" si="37"/>
        <v>#VALUE!</v>
      </c>
      <c r="Y100" s="2" t="e">
        <f t="shared" ca="1" si="38"/>
        <v>#VALUE!</v>
      </c>
      <c r="Z100" s="10">
        <f t="shared" si="39"/>
        <v>0.79483755675208601</v>
      </c>
      <c r="AA100" s="10" t="e">
        <f t="shared" ca="1" si="26"/>
        <v>#VALUE!</v>
      </c>
      <c r="AB100" s="11" t="e">
        <f t="shared" si="40"/>
        <v>#VALUE!</v>
      </c>
      <c r="AC100" s="11" t="e">
        <f>SUM($S$31:S100)/$V$31</f>
        <v>#VALUE!</v>
      </c>
      <c r="AD100" s="11" t="e">
        <f>SUM($S$31:S100,$R$31:R100,$T$31:T100)/$V$31</f>
        <v>#VALUE!</v>
      </c>
      <c r="AE100" s="11" t="e">
        <f>SUM($M$31:M100)/$V$31</f>
        <v>#VALUE!</v>
      </c>
      <c r="AF100" s="11" t="e">
        <f ca="1">SUM(SUM($M$31:M100),-SUM($T$31:T100))/$V$31</f>
        <v>#VALUE!</v>
      </c>
      <c r="AG100">
        <f t="shared" si="27"/>
        <v>4830</v>
      </c>
    </row>
    <row r="101" spans="2:33" x14ac:dyDescent="0.15">
      <c r="B101" s="1">
        <f t="shared" si="41"/>
        <v>70</v>
      </c>
      <c r="C101" s="1">
        <f t="shared" si="28"/>
        <v>70</v>
      </c>
      <c r="D101" s="25">
        <v>2.6152120722598503E-2</v>
      </c>
      <c r="E101" s="2">
        <f t="shared" si="29"/>
        <v>88842.924670582783</v>
      </c>
      <c r="F101" s="3">
        <f t="shared" si="42"/>
        <v>0.04</v>
      </c>
      <c r="G101" s="2">
        <f t="shared" si="43"/>
        <v>477.4153</v>
      </c>
      <c r="H101" s="2">
        <f t="shared" si="44"/>
        <v>296.14308223527598</v>
      </c>
      <c r="I101" s="2">
        <f t="shared" si="45"/>
        <v>181.27221776472402</v>
      </c>
      <c r="J101" s="2">
        <f t="shared" si="30"/>
        <v>88661.65245281806</v>
      </c>
      <c r="K101" s="2" t="e">
        <f t="shared" si="49"/>
        <v>#VALUE!</v>
      </c>
      <c r="L101" s="9">
        <v>1.6821425527395739E-3</v>
      </c>
      <c r="M101" s="2" t="e">
        <f t="shared" si="31"/>
        <v>#VALUE!</v>
      </c>
      <c r="N101" s="3">
        <f t="shared" si="32"/>
        <v>0.04</v>
      </c>
      <c r="O101" s="2" t="e">
        <f t="shared" si="33"/>
        <v>#VALUE!</v>
      </c>
      <c r="P101" s="10">
        <f t="shared" si="25"/>
        <v>0.88661652452818063</v>
      </c>
      <c r="Q101" s="13"/>
      <c r="R101" s="2" t="e">
        <f t="shared" si="46"/>
        <v>#VALUE!</v>
      </c>
      <c r="S101" s="2" t="e">
        <f t="shared" si="47"/>
        <v>#VALUE!</v>
      </c>
      <c r="T101" s="2" t="e">
        <f t="shared" ca="1" si="34"/>
        <v>#VALUE!</v>
      </c>
      <c r="U101" s="2" t="e">
        <f t="shared" si="48"/>
        <v>#VALUE!</v>
      </c>
      <c r="V101" s="2" t="e">
        <f t="shared" si="35"/>
        <v>#VALUE!</v>
      </c>
      <c r="W101" s="2">
        <f t="shared" si="36"/>
        <v>477.4153</v>
      </c>
      <c r="X101" s="2" t="e">
        <f t="shared" ca="1" si="37"/>
        <v>#VALUE!</v>
      </c>
      <c r="Y101" s="2" t="e">
        <f t="shared" ca="1" si="38"/>
        <v>#VALUE!</v>
      </c>
      <c r="Z101" s="10">
        <f t="shared" si="39"/>
        <v>0.79219690041803692</v>
      </c>
      <c r="AA101" s="10" t="e">
        <f t="shared" ca="1" si="26"/>
        <v>#VALUE!</v>
      </c>
      <c r="AB101" s="11" t="e">
        <f t="shared" si="40"/>
        <v>#VALUE!</v>
      </c>
      <c r="AC101" s="11" t="e">
        <f>SUM($S$31:S101)/$V$31</f>
        <v>#VALUE!</v>
      </c>
      <c r="AD101" s="11" t="e">
        <f>SUM($S$31:S101,$R$31:R101,$T$31:T101)/$V$31</f>
        <v>#VALUE!</v>
      </c>
      <c r="AE101" s="11" t="e">
        <f>SUM($M$31:M101)/$V$31</f>
        <v>#VALUE!</v>
      </c>
      <c r="AF101" s="11" t="e">
        <f ca="1">SUM(SUM($M$31:M101),-SUM($T$31:T101))/$V$31</f>
        <v>#VALUE!</v>
      </c>
      <c r="AG101">
        <f t="shared" si="27"/>
        <v>4970</v>
      </c>
    </row>
    <row r="102" spans="2:33" x14ac:dyDescent="0.15">
      <c r="B102" s="1">
        <f t="shared" si="41"/>
        <v>71</v>
      </c>
      <c r="C102" s="1">
        <f t="shared" si="28"/>
        <v>71</v>
      </c>
      <c r="D102" s="25">
        <v>2.64477804061501E-2</v>
      </c>
      <c r="E102" s="2">
        <f t="shared" si="29"/>
        <v>88661.65245281806</v>
      </c>
      <c r="F102" s="3">
        <f t="shared" si="42"/>
        <v>0.04</v>
      </c>
      <c r="G102" s="2">
        <f t="shared" si="43"/>
        <v>477.4153</v>
      </c>
      <c r="H102" s="2">
        <f t="shared" si="44"/>
        <v>295.53884150939354</v>
      </c>
      <c r="I102" s="2">
        <f t="shared" si="45"/>
        <v>181.87645849060647</v>
      </c>
      <c r="J102" s="2">
        <f t="shared" si="30"/>
        <v>88479.775994327458</v>
      </c>
      <c r="K102" s="2" t="e">
        <f t="shared" si="49"/>
        <v>#VALUE!</v>
      </c>
      <c r="L102" s="9">
        <v>1.6821425527395739E-3</v>
      </c>
      <c r="M102" s="2" t="e">
        <f t="shared" si="31"/>
        <v>#VALUE!</v>
      </c>
      <c r="N102" s="3">
        <f t="shared" si="32"/>
        <v>0.04</v>
      </c>
      <c r="O102" s="2" t="e">
        <f t="shared" si="33"/>
        <v>#VALUE!</v>
      </c>
      <c r="P102" s="10">
        <f t="shared" si="25"/>
        <v>0.88479775994327459</v>
      </c>
      <c r="Q102" s="13"/>
      <c r="R102" s="2" t="e">
        <f t="shared" si="46"/>
        <v>#VALUE!</v>
      </c>
      <c r="S102" s="2" t="e">
        <f t="shared" si="47"/>
        <v>#VALUE!</v>
      </c>
      <c r="T102" s="2" t="e">
        <f t="shared" ca="1" si="34"/>
        <v>#VALUE!</v>
      </c>
      <c r="U102" s="2" t="e">
        <f t="shared" si="48"/>
        <v>#VALUE!</v>
      </c>
      <c r="V102" s="2" t="e">
        <f t="shared" si="35"/>
        <v>#VALUE!</v>
      </c>
      <c r="W102" s="2">
        <f t="shared" si="36"/>
        <v>477.4153</v>
      </c>
      <c r="X102" s="2" t="e">
        <f t="shared" ca="1" si="37"/>
        <v>#VALUE!</v>
      </c>
      <c r="Y102" s="2" t="e">
        <f t="shared" ca="1" si="38"/>
        <v>#VALUE!</v>
      </c>
      <c r="Z102" s="10">
        <f t="shared" si="39"/>
        <v>0.78956501702861703</v>
      </c>
      <c r="AA102" s="10" t="e">
        <f t="shared" ca="1" si="26"/>
        <v>#VALUE!</v>
      </c>
      <c r="AB102" s="11" t="e">
        <f t="shared" si="40"/>
        <v>#VALUE!</v>
      </c>
      <c r="AC102" s="11" t="e">
        <f>SUM($S$31:S102)/$V$31</f>
        <v>#VALUE!</v>
      </c>
      <c r="AD102" s="11" t="e">
        <f>SUM($S$31:S102,$R$31:R102,$T$31:T102)/$V$31</f>
        <v>#VALUE!</v>
      </c>
      <c r="AE102" s="11" t="e">
        <f>SUM($M$31:M102)/$V$31</f>
        <v>#VALUE!</v>
      </c>
      <c r="AF102" s="11" t="e">
        <f ca="1">SUM(SUM($M$31:M102),-SUM($T$31:T102))/$V$31</f>
        <v>#VALUE!</v>
      </c>
      <c r="AG102">
        <f t="shared" si="27"/>
        <v>5112</v>
      </c>
    </row>
    <row r="103" spans="2:33" x14ac:dyDescent="0.15">
      <c r="B103" s="1">
        <f t="shared" si="41"/>
        <v>72</v>
      </c>
      <c r="C103" s="1">
        <f t="shared" si="28"/>
        <v>72</v>
      </c>
      <c r="D103" s="25">
        <v>2.6729092295689098E-2</v>
      </c>
      <c r="E103" s="2">
        <f t="shared" si="29"/>
        <v>88479.775994327458</v>
      </c>
      <c r="F103" s="3">
        <f t="shared" si="42"/>
        <v>0.04</v>
      </c>
      <c r="G103" s="2">
        <f t="shared" si="43"/>
        <v>477.4153</v>
      </c>
      <c r="H103" s="2">
        <f t="shared" si="44"/>
        <v>294.93258664775823</v>
      </c>
      <c r="I103" s="2">
        <f t="shared" si="45"/>
        <v>182.48271335224177</v>
      </c>
      <c r="J103" s="2">
        <f t="shared" si="30"/>
        <v>88297.293280975209</v>
      </c>
      <c r="K103" s="2" t="e">
        <f t="shared" si="49"/>
        <v>#VALUE!</v>
      </c>
      <c r="L103" s="9">
        <v>1.6821425527395739E-3</v>
      </c>
      <c r="M103" s="2" t="e">
        <f t="shared" si="31"/>
        <v>#VALUE!</v>
      </c>
      <c r="N103" s="3">
        <f t="shared" si="32"/>
        <v>0.04</v>
      </c>
      <c r="O103" s="2" t="e">
        <f t="shared" si="33"/>
        <v>#VALUE!</v>
      </c>
      <c r="P103" s="10">
        <f t="shared" si="25"/>
        <v>0.88297293280975209</v>
      </c>
      <c r="Q103" s="13"/>
      <c r="R103" s="2" t="e">
        <f t="shared" si="46"/>
        <v>#VALUE!</v>
      </c>
      <c r="S103" s="2" t="e">
        <f t="shared" si="47"/>
        <v>#VALUE!</v>
      </c>
      <c r="T103" s="2" t="e">
        <f t="shared" ca="1" si="34"/>
        <v>#VALUE!</v>
      </c>
      <c r="U103" s="2" t="e">
        <f t="shared" si="48"/>
        <v>#VALUE!</v>
      </c>
      <c r="V103" s="2" t="e">
        <f t="shared" si="35"/>
        <v>#VALUE!</v>
      </c>
      <c r="W103" s="2">
        <f t="shared" si="36"/>
        <v>477.4153</v>
      </c>
      <c r="X103" s="2" t="e">
        <f t="shared" ca="1" si="37"/>
        <v>#VALUE!</v>
      </c>
      <c r="Y103" s="2" t="e">
        <f t="shared" ca="1" si="38"/>
        <v>#VALUE!</v>
      </c>
      <c r="Z103" s="10">
        <f t="shared" si="39"/>
        <v>0.78694187743783106</v>
      </c>
      <c r="AA103" s="10" t="e">
        <f t="shared" ca="1" si="26"/>
        <v>#VALUE!</v>
      </c>
      <c r="AB103" s="11" t="e">
        <f t="shared" si="40"/>
        <v>#VALUE!</v>
      </c>
      <c r="AC103" s="11" t="e">
        <f>SUM($S$31:S103)/$V$31</f>
        <v>#VALUE!</v>
      </c>
      <c r="AD103" s="11" t="e">
        <f>SUM($S$31:S103,$R$31:R103,$T$31:T103)/$V$31</f>
        <v>#VALUE!</v>
      </c>
      <c r="AE103" s="11" t="e">
        <f>SUM($M$31:M103)/$V$31</f>
        <v>#VALUE!</v>
      </c>
      <c r="AF103" s="11" t="e">
        <f ca="1">SUM(SUM($M$31:M103),-SUM($T$31:T103))/$V$31</f>
        <v>#VALUE!</v>
      </c>
      <c r="AG103">
        <f t="shared" si="27"/>
        <v>5256</v>
      </c>
    </row>
    <row r="104" spans="2:33" x14ac:dyDescent="0.15">
      <c r="B104" s="1">
        <f t="shared" si="41"/>
        <v>73</v>
      </c>
      <c r="C104" s="1">
        <f t="shared" si="28"/>
        <v>73</v>
      </c>
      <c r="D104" s="25">
        <v>2.6980747348978401E-2</v>
      </c>
      <c r="E104" s="2">
        <f t="shared" si="29"/>
        <v>88297.293280975209</v>
      </c>
      <c r="F104" s="3">
        <f t="shared" si="42"/>
        <v>0.04</v>
      </c>
      <c r="G104" s="2">
        <f t="shared" si="43"/>
        <v>477.4153</v>
      </c>
      <c r="H104" s="2">
        <f t="shared" si="44"/>
        <v>294.32431093658403</v>
      </c>
      <c r="I104" s="2">
        <f t="shared" si="45"/>
        <v>183.09098906341598</v>
      </c>
      <c r="J104" s="2">
        <f t="shared" si="30"/>
        <v>88114.202291911788</v>
      </c>
      <c r="K104" s="2" t="e">
        <f t="shared" si="49"/>
        <v>#VALUE!</v>
      </c>
      <c r="L104" s="9">
        <v>1.6821425527395739E-3</v>
      </c>
      <c r="M104" s="2" t="e">
        <f t="shared" si="31"/>
        <v>#VALUE!</v>
      </c>
      <c r="N104" s="3">
        <f t="shared" si="32"/>
        <v>0.04</v>
      </c>
      <c r="O104" s="2" t="e">
        <f t="shared" si="33"/>
        <v>#VALUE!</v>
      </c>
      <c r="P104" s="10">
        <f t="shared" si="25"/>
        <v>0.88114202291911792</v>
      </c>
      <c r="Q104" s="13"/>
      <c r="R104" s="2" t="e">
        <f t="shared" si="46"/>
        <v>#VALUE!</v>
      </c>
      <c r="S104" s="2" t="e">
        <f t="shared" si="47"/>
        <v>#VALUE!</v>
      </c>
      <c r="T104" s="2" t="e">
        <f t="shared" ca="1" si="34"/>
        <v>#VALUE!</v>
      </c>
      <c r="U104" s="2" t="e">
        <f t="shared" si="48"/>
        <v>#VALUE!</v>
      </c>
      <c r="V104" s="2" t="e">
        <f t="shared" si="35"/>
        <v>#VALUE!</v>
      </c>
      <c r="W104" s="2">
        <f t="shared" si="36"/>
        <v>477.4153</v>
      </c>
      <c r="X104" s="2" t="e">
        <f t="shared" ca="1" si="37"/>
        <v>#VALUE!</v>
      </c>
      <c r="Y104" s="2" t="e">
        <f t="shared" ca="1" si="38"/>
        <v>#VALUE!</v>
      </c>
      <c r="Z104" s="10">
        <f t="shared" si="39"/>
        <v>0.78432745259651382</v>
      </c>
      <c r="AA104" s="10" t="e">
        <f t="shared" ca="1" si="26"/>
        <v>#VALUE!</v>
      </c>
      <c r="AB104" s="11" t="e">
        <f t="shared" si="40"/>
        <v>#VALUE!</v>
      </c>
      <c r="AC104" s="11" t="e">
        <f>SUM($S$31:S104)/$V$31</f>
        <v>#VALUE!</v>
      </c>
      <c r="AD104" s="11" t="e">
        <f>SUM($S$31:S104,$R$31:R104,$T$31:T104)/$V$31</f>
        <v>#VALUE!</v>
      </c>
      <c r="AE104" s="11" t="e">
        <f>SUM($M$31:M104)/$V$31</f>
        <v>#VALUE!</v>
      </c>
      <c r="AF104" s="11" t="e">
        <f ca="1">SUM(SUM($M$31:M104),-SUM($T$31:T104))/$V$31</f>
        <v>#VALUE!</v>
      </c>
      <c r="AG104">
        <f t="shared" si="27"/>
        <v>5402</v>
      </c>
    </row>
    <row r="105" spans="2:33" x14ac:dyDescent="0.15">
      <c r="B105" s="1">
        <f t="shared" si="41"/>
        <v>74</v>
      </c>
      <c r="C105" s="1">
        <f t="shared" si="28"/>
        <v>74</v>
      </c>
      <c r="D105" s="25">
        <v>2.7237655292350602E-2</v>
      </c>
      <c r="E105" s="2">
        <f t="shared" si="29"/>
        <v>88114.202291911788</v>
      </c>
      <c r="F105" s="3">
        <f t="shared" si="42"/>
        <v>0.04</v>
      </c>
      <c r="G105" s="2">
        <f t="shared" si="43"/>
        <v>477.4153</v>
      </c>
      <c r="H105" s="2">
        <f t="shared" si="44"/>
        <v>293.71400763970598</v>
      </c>
      <c r="I105" s="2">
        <f t="shared" si="45"/>
        <v>183.70129236029402</v>
      </c>
      <c r="J105" s="2">
        <f t="shared" si="30"/>
        <v>87930.500999551499</v>
      </c>
      <c r="K105" s="2" t="e">
        <f t="shared" si="49"/>
        <v>#VALUE!</v>
      </c>
      <c r="L105" s="9">
        <v>1.6821425527395739E-3</v>
      </c>
      <c r="M105" s="2" t="e">
        <f t="shared" si="31"/>
        <v>#VALUE!</v>
      </c>
      <c r="N105" s="3">
        <f t="shared" si="32"/>
        <v>0.04</v>
      </c>
      <c r="O105" s="2" t="e">
        <f t="shared" si="33"/>
        <v>#VALUE!</v>
      </c>
      <c r="P105" s="10">
        <f t="shared" si="25"/>
        <v>0.87930500999551497</v>
      </c>
      <c r="Q105" s="13"/>
      <c r="R105" s="2" t="e">
        <f t="shared" si="46"/>
        <v>#VALUE!</v>
      </c>
      <c r="S105" s="2" t="e">
        <f t="shared" si="47"/>
        <v>#VALUE!</v>
      </c>
      <c r="T105" s="2" t="e">
        <f t="shared" ca="1" si="34"/>
        <v>#VALUE!</v>
      </c>
      <c r="U105" s="2" t="e">
        <f t="shared" si="48"/>
        <v>#VALUE!</v>
      </c>
      <c r="V105" s="2" t="e">
        <f t="shared" si="35"/>
        <v>#VALUE!</v>
      </c>
      <c r="W105" s="2">
        <f t="shared" si="36"/>
        <v>477.4153</v>
      </c>
      <c r="X105" s="2" t="e">
        <f t="shared" ca="1" si="37"/>
        <v>#VALUE!</v>
      </c>
      <c r="Y105" s="2" t="e">
        <f t="shared" ca="1" si="38"/>
        <v>#VALUE!</v>
      </c>
      <c r="Z105" s="10">
        <f t="shared" si="39"/>
        <v>0.78172171355200926</v>
      </c>
      <c r="AA105" s="10" t="e">
        <f t="shared" ca="1" si="26"/>
        <v>#VALUE!</v>
      </c>
      <c r="AB105" s="11" t="e">
        <f t="shared" si="40"/>
        <v>#VALUE!</v>
      </c>
      <c r="AC105" s="11" t="e">
        <f>SUM($S$31:S105)/$V$31</f>
        <v>#VALUE!</v>
      </c>
      <c r="AD105" s="11" t="e">
        <f>SUM($S$31:S105,$R$31:R105,$T$31:T105)/$V$31</f>
        <v>#VALUE!</v>
      </c>
      <c r="AE105" s="11" t="e">
        <f>SUM($M$31:M105)/$V$31</f>
        <v>#VALUE!</v>
      </c>
      <c r="AF105" s="11" t="e">
        <f ca="1">SUM(SUM($M$31:M105),-SUM($T$31:T105))/$V$31</f>
        <v>#VALUE!</v>
      </c>
      <c r="AG105">
        <f t="shared" si="27"/>
        <v>5550</v>
      </c>
    </row>
    <row r="106" spans="2:33" x14ac:dyDescent="0.15">
      <c r="B106" s="1">
        <f t="shared" si="41"/>
        <v>75</v>
      </c>
      <c r="C106" s="1">
        <f t="shared" si="28"/>
        <v>75</v>
      </c>
      <c r="D106" s="25">
        <v>2.75104742327788E-2</v>
      </c>
      <c r="E106" s="2">
        <f t="shared" si="29"/>
        <v>87930.500999551499</v>
      </c>
      <c r="F106" s="3">
        <f t="shared" si="42"/>
        <v>0.04</v>
      </c>
      <c r="G106" s="2">
        <f t="shared" si="43"/>
        <v>477.4153</v>
      </c>
      <c r="H106" s="2">
        <f t="shared" si="44"/>
        <v>293.10166999850503</v>
      </c>
      <c r="I106" s="2">
        <f t="shared" si="45"/>
        <v>184.31363000149497</v>
      </c>
      <c r="J106" s="2">
        <f t="shared" si="30"/>
        <v>87746.187369550011</v>
      </c>
      <c r="K106" s="2" t="e">
        <f t="shared" si="49"/>
        <v>#VALUE!</v>
      </c>
      <c r="L106" s="9">
        <v>1.6821425527395739E-3</v>
      </c>
      <c r="M106" s="2" t="e">
        <f t="shared" si="31"/>
        <v>#VALUE!</v>
      </c>
      <c r="N106" s="3">
        <f t="shared" si="32"/>
        <v>0.04</v>
      </c>
      <c r="O106" s="2" t="e">
        <f t="shared" si="33"/>
        <v>#VALUE!</v>
      </c>
      <c r="P106" s="10">
        <f t="shared" si="25"/>
        <v>0.87746187369550011</v>
      </c>
      <c r="Q106" s="13"/>
      <c r="R106" s="2" t="e">
        <f t="shared" si="46"/>
        <v>#VALUE!</v>
      </c>
      <c r="S106" s="2" t="e">
        <f t="shared" si="47"/>
        <v>#VALUE!</v>
      </c>
      <c r="T106" s="2" t="e">
        <f t="shared" ca="1" si="34"/>
        <v>#VALUE!</v>
      </c>
      <c r="U106" s="2" t="e">
        <f t="shared" si="48"/>
        <v>#VALUE!</v>
      </c>
      <c r="V106" s="2" t="e">
        <f t="shared" si="35"/>
        <v>#VALUE!</v>
      </c>
      <c r="W106" s="2">
        <f t="shared" si="36"/>
        <v>477.4153</v>
      </c>
      <c r="X106" s="2" t="e">
        <f t="shared" ca="1" si="37"/>
        <v>#VALUE!</v>
      </c>
      <c r="Y106" s="2" t="e">
        <f t="shared" ca="1" si="38"/>
        <v>#VALUE!</v>
      </c>
      <c r="Z106" s="10">
        <f t="shared" si="39"/>
        <v>0.77912463144784994</v>
      </c>
      <c r="AA106" s="10" t="e">
        <f t="shared" ca="1" si="26"/>
        <v>#VALUE!</v>
      </c>
      <c r="AB106" s="11" t="e">
        <f t="shared" si="40"/>
        <v>#VALUE!</v>
      </c>
      <c r="AC106" s="11" t="e">
        <f>SUM($S$31:S106)/$V$31</f>
        <v>#VALUE!</v>
      </c>
      <c r="AD106" s="11" t="e">
        <f>SUM($S$31:S106,$R$31:R106,$T$31:T106)/$V$31</f>
        <v>#VALUE!</v>
      </c>
      <c r="AE106" s="11" t="e">
        <f>SUM($M$31:M106)/$V$31</f>
        <v>#VALUE!</v>
      </c>
      <c r="AF106" s="11" t="e">
        <f ca="1">SUM(SUM($M$31:M106),-SUM($T$31:T106))/$V$31</f>
        <v>#VALUE!</v>
      </c>
      <c r="AG106">
        <f t="shared" si="27"/>
        <v>5700</v>
      </c>
    </row>
    <row r="107" spans="2:33" x14ac:dyDescent="0.15">
      <c r="B107" s="1">
        <f t="shared" si="41"/>
        <v>76</v>
      </c>
      <c r="C107" s="1">
        <f t="shared" si="28"/>
        <v>76</v>
      </c>
      <c r="D107" s="25">
        <v>2.7797099902746602E-2</v>
      </c>
      <c r="E107" s="2">
        <f t="shared" si="29"/>
        <v>87746.187369550011</v>
      </c>
      <c r="F107" s="3">
        <f t="shared" si="42"/>
        <v>0.04</v>
      </c>
      <c r="G107" s="2">
        <f t="shared" si="43"/>
        <v>477.4153</v>
      </c>
      <c r="H107" s="2">
        <f t="shared" si="44"/>
        <v>292.48729123183341</v>
      </c>
      <c r="I107" s="2">
        <f t="shared" si="45"/>
        <v>184.92800876816659</v>
      </c>
      <c r="J107" s="2">
        <f t="shared" si="30"/>
        <v>87561.259360781842</v>
      </c>
      <c r="K107" s="2" t="e">
        <f t="shared" si="49"/>
        <v>#VALUE!</v>
      </c>
      <c r="L107" s="9">
        <v>1.6821425527395739E-3</v>
      </c>
      <c r="M107" s="2" t="e">
        <f t="shared" si="31"/>
        <v>#VALUE!</v>
      </c>
      <c r="N107" s="3">
        <f t="shared" si="32"/>
        <v>0.04</v>
      </c>
      <c r="O107" s="2" t="e">
        <f t="shared" si="33"/>
        <v>#VALUE!</v>
      </c>
      <c r="P107" s="10">
        <f t="shared" si="25"/>
        <v>0.8756125936078184</v>
      </c>
      <c r="Q107" s="13"/>
      <c r="R107" s="2" t="e">
        <f t="shared" si="46"/>
        <v>#VALUE!</v>
      </c>
      <c r="S107" s="2" t="e">
        <f t="shared" si="47"/>
        <v>#VALUE!</v>
      </c>
      <c r="T107" s="2" t="e">
        <f t="shared" ca="1" si="34"/>
        <v>#VALUE!</v>
      </c>
      <c r="U107" s="2" t="e">
        <f t="shared" si="48"/>
        <v>#VALUE!</v>
      </c>
      <c r="V107" s="2" t="e">
        <f t="shared" si="35"/>
        <v>#VALUE!</v>
      </c>
      <c r="W107" s="2">
        <f t="shared" si="36"/>
        <v>477.4153</v>
      </c>
      <c r="X107" s="2" t="e">
        <f t="shared" ca="1" si="37"/>
        <v>#VALUE!</v>
      </c>
      <c r="Y107" s="2" t="e">
        <f t="shared" ca="1" si="38"/>
        <v>#VALUE!</v>
      </c>
      <c r="Z107" s="10">
        <f t="shared" si="39"/>
        <v>0.77653617752343629</v>
      </c>
      <c r="AA107" s="10" t="e">
        <f t="shared" ca="1" si="26"/>
        <v>#VALUE!</v>
      </c>
      <c r="AB107" s="11" t="e">
        <f t="shared" si="40"/>
        <v>#VALUE!</v>
      </c>
      <c r="AC107" s="11" t="e">
        <f>SUM($S$31:S107)/$V$31</f>
        <v>#VALUE!</v>
      </c>
      <c r="AD107" s="11" t="e">
        <f>SUM($S$31:S107,$R$31:R107,$T$31:T107)/$V$31</f>
        <v>#VALUE!</v>
      </c>
      <c r="AE107" s="11" t="e">
        <f>SUM($M$31:M107)/$V$31</f>
        <v>#VALUE!</v>
      </c>
      <c r="AF107" s="11" t="e">
        <f ca="1">SUM(SUM($M$31:M107),-SUM($T$31:T107))/$V$31</f>
        <v>#VALUE!</v>
      </c>
      <c r="AG107">
        <f t="shared" si="27"/>
        <v>5852</v>
      </c>
    </row>
    <row r="108" spans="2:33" x14ac:dyDescent="0.15">
      <c r="B108" s="1">
        <f t="shared" si="41"/>
        <v>77</v>
      </c>
      <c r="C108" s="1">
        <f t="shared" si="28"/>
        <v>77</v>
      </c>
      <c r="D108" s="25">
        <v>2.8093200660101601E-2</v>
      </c>
      <c r="E108" s="2">
        <f t="shared" si="29"/>
        <v>87561.259360781842</v>
      </c>
      <c r="F108" s="3">
        <f t="shared" si="42"/>
        <v>0.04</v>
      </c>
      <c r="G108" s="2">
        <f t="shared" si="43"/>
        <v>477.4153</v>
      </c>
      <c r="H108" s="2">
        <f t="shared" si="44"/>
        <v>291.87086453593952</v>
      </c>
      <c r="I108" s="2">
        <f t="shared" si="45"/>
        <v>185.54443546406048</v>
      </c>
      <c r="J108" s="2">
        <f t="shared" si="30"/>
        <v>87375.714925317778</v>
      </c>
      <c r="K108" s="2" t="e">
        <f t="shared" si="49"/>
        <v>#VALUE!</v>
      </c>
      <c r="L108" s="9">
        <v>1.6821425527395739E-3</v>
      </c>
      <c r="M108" s="2" t="e">
        <f t="shared" si="31"/>
        <v>#VALUE!</v>
      </c>
      <c r="N108" s="3">
        <f t="shared" si="32"/>
        <v>0.04</v>
      </c>
      <c r="O108" s="2" t="e">
        <f t="shared" si="33"/>
        <v>#VALUE!</v>
      </c>
      <c r="P108" s="10">
        <f t="shared" si="25"/>
        <v>0.87375714925317782</v>
      </c>
      <c r="Q108" s="13"/>
      <c r="R108" s="2" t="e">
        <f t="shared" si="46"/>
        <v>#VALUE!</v>
      </c>
      <c r="S108" s="2" t="e">
        <f t="shared" si="47"/>
        <v>#VALUE!</v>
      </c>
      <c r="T108" s="2" t="e">
        <f t="shared" ca="1" si="34"/>
        <v>#VALUE!</v>
      </c>
      <c r="U108" s="2" t="e">
        <f t="shared" si="48"/>
        <v>#VALUE!</v>
      </c>
      <c r="V108" s="2" t="e">
        <f t="shared" si="35"/>
        <v>#VALUE!</v>
      </c>
      <c r="W108" s="2">
        <f t="shared" si="36"/>
        <v>477.4153</v>
      </c>
      <c r="X108" s="2" t="e">
        <f t="shared" ca="1" si="37"/>
        <v>#VALUE!</v>
      </c>
      <c r="Y108" s="2" t="e">
        <f t="shared" ca="1" si="38"/>
        <v>#VALUE!</v>
      </c>
      <c r="Z108" s="10">
        <f t="shared" si="39"/>
        <v>0.77395632311371965</v>
      </c>
      <c r="AA108" s="10" t="e">
        <f t="shared" ca="1" si="26"/>
        <v>#VALUE!</v>
      </c>
      <c r="AB108" s="11" t="e">
        <f t="shared" si="40"/>
        <v>#VALUE!</v>
      </c>
      <c r="AC108" s="11" t="e">
        <f>SUM($S$31:S108)/$V$31</f>
        <v>#VALUE!</v>
      </c>
      <c r="AD108" s="11" t="e">
        <f>SUM($S$31:S108,$R$31:R108,$T$31:T108)/$V$31</f>
        <v>#VALUE!</v>
      </c>
      <c r="AE108" s="11" t="e">
        <f>SUM($M$31:M108)/$V$31</f>
        <v>#VALUE!</v>
      </c>
      <c r="AF108" s="11" t="e">
        <f ca="1">SUM(SUM($M$31:M108),-SUM($T$31:T108))/$V$31</f>
        <v>#VALUE!</v>
      </c>
      <c r="AG108">
        <f t="shared" si="27"/>
        <v>6006</v>
      </c>
    </row>
    <row r="109" spans="2:33" x14ac:dyDescent="0.15">
      <c r="B109" s="1">
        <f t="shared" si="41"/>
        <v>78</v>
      </c>
      <c r="C109" s="1">
        <f t="shared" si="28"/>
        <v>78</v>
      </c>
      <c r="D109" s="25">
        <v>2.8403200124033398E-2</v>
      </c>
      <c r="E109" s="2">
        <f t="shared" si="29"/>
        <v>87375.714925317778</v>
      </c>
      <c r="F109" s="3">
        <f t="shared" si="42"/>
        <v>0.04</v>
      </c>
      <c r="G109" s="2">
        <f t="shared" si="43"/>
        <v>477.4153</v>
      </c>
      <c r="H109" s="2">
        <f t="shared" si="44"/>
        <v>291.25238308439259</v>
      </c>
      <c r="I109" s="2">
        <f t="shared" si="45"/>
        <v>186.16291691560741</v>
      </c>
      <c r="J109" s="2">
        <f t="shared" si="30"/>
        <v>87189.55200840217</v>
      </c>
      <c r="K109" s="2" t="e">
        <f t="shared" si="49"/>
        <v>#VALUE!</v>
      </c>
      <c r="L109" s="9">
        <v>1.6821425527395739E-3</v>
      </c>
      <c r="M109" s="2" t="e">
        <f t="shared" si="31"/>
        <v>#VALUE!</v>
      </c>
      <c r="N109" s="3">
        <f t="shared" si="32"/>
        <v>0.04</v>
      </c>
      <c r="O109" s="2" t="e">
        <f t="shared" si="33"/>
        <v>#VALUE!</v>
      </c>
      <c r="P109" s="10">
        <f t="shared" si="25"/>
        <v>0.87189552008402171</v>
      </c>
      <c r="Q109" s="13"/>
      <c r="R109" s="2" t="e">
        <f t="shared" si="46"/>
        <v>#VALUE!</v>
      </c>
      <c r="S109" s="2" t="e">
        <f t="shared" si="47"/>
        <v>#VALUE!</v>
      </c>
      <c r="T109" s="2" t="e">
        <f t="shared" ca="1" si="34"/>
        <v>#VALUE!</v>
      </c>
      <c r="U109" s="2" t="e">
        <f t="shared" si="48"/>
        <v>#VALUE!</v>
      </c>
      <c r="V109" s="2" t="e">
        <f t="shared" si="35"/>
        <v>#VALUE!</v>
      </c>
      <c r="W109" s="2">
        <f t="shared" si="36"/>
        <v>477.4153</v>
      </c>
      <c r="X109" s="2" t="e">
        <f t="shared" ca="1" si="37"/>
        <v>#VALUE!</v>
      </c>
      <c r="Y109" s="2" t="e">
        <f t="shared" ca="1" si="38"/>
        <v>#VALUE!</v>
      </c>
      <c r="Z109" s="10">
        <f t="shared" si="39"/>
        <v>0.77138503964888305</v>
      </c>
      <c r="AA109" s="10" t="e">
        <f t="shared" ca="1" si="26"/>
        <v>#VALUE!</v>
      </c>
      <c r="AB109" s="11" t="e">
        <f t="shared" si="40"/>
        <v>#VALUE!</v>
      </c>
      <c r="AC109" s="11" t="e">
        <f>SUM($S$31:S109)/$V$31</f>
        <v>#VALUE!</v>
      </c>
      <c r="AD109" s="11" t="e">
        <f>SUM($S$31:S109,$R$31:R109,$T$31:T109)/$V$31</f>
        <v>#VALUE!</v>
      </c>
      <c r="AE109" s="11" t="e">
        <f>SUM($M$31:M109)/$V$31</f>
        <v>#VALUE!</v>
      </c>
      <c r="AF109" s="11" t="e">
        <f ca="1">SUM(SUM($M$31:M109),-SUM($T$31:T109))/$V$31</f>
        <v>#VALUE!</v>
      </c>
      <c r="AG109">
        <f t="shared" si="27"/>
        <v>6162</v>
      </c>
    </row>
    <row r="110" spans="2:33" x14ac:dyDescent="0.15">
      <c r="B110" s="1">
        <f t="shared" si="41"/>
        <v>79</v>
      </c>
      <c r="C110" s="1">
        <f t="shared" si="28"/>
        <v>79</v>
      </c>
      <c r="D110" s="25">
        <v>2.8729100409872799E-2</v>
      </c>
      <c r="E110" s="2">
        <f t="shared" si="29"/>
        <v>87189.55200840217</v>
      </c>
      <c r="F110" s="3">
        <f t="shared" si="42"/>
        <v>0.04</v>
      </c>
      <c r="G110" s="2">
        <f t="shared" si="43"/>
        <v>477.4153</v>
      </c>
      <c r="H110" s="2">
        <f t="shared" si="44"/>
        <v>290.63184002800728</v>
      </c>
      <c r="I110" s="2">
        <f t="shared" si="45"/>
        <v>186.78345997199273</v>
      </c>
      <c r="J110" s="2">
        <f t="shared" si="30"/>
        <v>87002.768548430176</v>
      </c>
      <c r="K110" s="2" t="e">
        <f t="shared" si="49"/>
        <v>#VALUE!</v>
      </c>
      <c r="L110" s="9">
        <v>1.6821425527395739E-3</v>
      </c>
      <c r="M110" s="2" t="e">
        <f t="shared" si="31"/>
        <v>#VALUE!</v>
      </c>
      <c r="N110" s="3">
        <f t="shared" si="32"/>
        <v>0.04</v>
      </c>
      <c r="O110" s="2" t="e">
        <f t="shared" si="33"/>
        <v>#VALUE!</v>
      </c>
      <c r="P110" s="10">
        <f t="shared" si="25"/>
        <v>0.87002768548430176</v>
      </c>
      <c r="Q110" s="13"/>
      <c r="R110" s="2" t="e">
        <f t="shared" si="46"/>
        <v>#VALUE!</v>
      </c>
      <c r="S110" s="2" t="e">
        <f t="shared" si="47"/>
        <v>#VALUE!</v>
      </c>
      <c r="T110" s="2" t="e">
        <f t="shared" ca="1" si="34"/>
        <v>#VALUE!</v>
      </c>
      <c r="U110" s="2" t="e">
        <f t="shared" si="48"/>
        <v>#VALUE!</v>
      </c>
      <c r="V110" s="2" t="e">
        <f t="shared" si="35"/>
        <v>#VALUE!</v>
      </c>
      <c r="W110" s="2">
        <f t="shared" si="36"/>
        <v>477.4153</v>
      </c>
      <c r="X110" s="2" t="e">
        <f t="shared" ca="1" si="37"/>
        <v>#VALUE!</v>
      </c>
      <c r="Y110" s="2" t="e">
        <f t="shared" ca="1" si="38"/>
        <v>#VALUE!</v>
      </c>
      <c r="Z110" s="10">
        <f t="shared" si="39"/>
        <v>0.76882229865402762</v>
      </c>
      <c r="AA110" s="10" t="e">
        <f t="shared" ca="1" si="26"/>
        <v>#VALUE!</v>
      </c>
      <c r="AB110" s="11" t="e">
        <f t="shared" si="40"/>
        <v>#VALUE!</v>
      </c>
      <c r="AC110" s="11" t="e">
        <f>SUM($S$31:S110)/$V$31</f>
        <v>#VALUE!</v>
      </c>
      <c r="AD110" s="11" t="e">
        <f>SUM($S$31:S110,$R$31:R110,$T$31:T110)/$V$31</f>
        <v>#VALUE!</v>
      </c>
      <c r="AE110" s="11" t="e">
        <f>SUM($M$31:M110)/$V$31</f>
        <v>#VALUE!</v>
      </c>
      <c r="AF110" s="11" t="e">
        <f ca="1">SUM(SUM($M$31:M110),-SUM($T$31:T110))/$V$31</f>
        <v>#VALUE!</v>
      </c>
      <c r="AG110">
        <f t="shared" si="27"/>
        <v>6320</v>
      </c>
    </row>
    <row r="111" spans="2:33" x14ac:dyDescent="0.15">
      <c r="B111" s="1">
        <f t="shared" si="41"/>
        <v>80</v>
      </c>
      <c r="C111" s="1">
        <f t="shared" si="28"/>
        <v>80</v>
      </c>
      <c r="D111" s="25">
        <v>2.9060312595965799E-2</v>
      </c>
      <c r="E111" s="2">
        <f t="shared" si="29"/>
        <v>87002.768548430176</v>
      </c>
      <c r="F111" s="3">
        <f t="shared" si="42"/>
        <v>0.04</v>
      </c>
      <c r="G111" s="2">
        <f t="shared" si="43"/>
        <v>477.4153</v>
      </c>
      <c r="H111" s="2">
        <f t="shared" si="44"/>
        <v>290.00922849476729</v>
      </c>
      <c r="I111" s="2">
        <f t="shared" si="45"/>
        <v>187.40607150523272</v>
      </c>
      <c r="J111" s="2">
        <f t="shared" si="30"/>
        <v>86815.362476924944</v>
      </c>
      <c r="K111" s="2" t="e">
        <f t="shared" si="49"/>
        <v>#VALUE!</v>
      </c>
      <c r="L111" s="9">
        <v>1.6821425527395739E-3</v>
      </c>
      <c r="M111" s="2" t="e">
        <f t="shared" si="31"/>
        <v>#VALUE!</v>
      </c>
      <c r="N111" s="3">
        <f t="shared" si="32"/>
        <v>0.04</v>
      </c>
      <c r="O111" s="2" t="e">
        <f t="shared" si="33"/>
        <v>#VALUE!</v>
      </c>
      <c r="P111" s="10">
        <f t="shared" si="25"/>
        <v>0.8681536247692494</v>
      </c>
      <c r="Q111" s="13"/>
      <c r="R111" s="2" t="e">
        <f t="shared" si="46"/>
        <v>#VALUE!</v>
      </c>
      <c r="S111" s="2" t="e">
        <f t="shared" si="47"/>
        <v>#VALUE!</v>
      </c>
      <c r="T111" s="2" t="e">
        <f t="shared" ca="1" si="34"/>
        <v>#VALUE!</v>
      </c>
      <c r="U111" s="2" t="e">
        <f t="shared" si="48"/>
        <v>#VALUE!</v>
      </c>
      <c r="V111" s="2" t="e">
        <f t="shared" si="35"/>
        <v>#VALUE!</v>
      </c>
      <c r="W111" s="2">
        <f t="shared" si="36"/>
        <v>477.4153</v>
      </c>
      <c r="X111" s="2" t="e">
        <f t="shared" ca="1" si="37"/>
        <v>#VALUE!</v>
      </c>
      <c r="Y111" s="2" t="e">
        <f t="shared" ca="1" si="38"/>
        <v>#VALUE!</v>
      </c>
      <c r="Z111" s="10">
        <f t="shared" si="39"/>
        <v>0.76626807174885392</v>
      </c>
      <c r="AA111" s="10" t="e">
        <f t="shared" ca="1" si="26"/>
        <v>#VALUE!</v>
      </c>
      <c r="AB111" s="11" t="e">
        <f t="shared" si="40"/>
        <v>#VALUE!</v>
      </c>
      <c r="AC111" s="11" t="e">
        <f>SUM($S$31:S111)/$V$31</f>
        <v>#VALUE!</v>
      </c>
      <c r="AD111" s="11" t="e">
        <f>SUM($S$31:S111,$R$31:R111,$T$31:T111)/$V$31</f>
        <v>#VALUE!</v>
      </c>
      <c r="AE111" s="11" t="e">
        <f>SUM($M$31:M111)/$V$31</f>
        <v>#VALUE!</v>
      </c>
      <c r="AF111" s="11" t="e">
        <f ca="1">SUM(SUM($M$31:M111),-SUM($T$31:T111))/$V$31</f>
        <v>#VALUE!</v>
      </c>
      <c r="AG111">
        <f t="shared" si="27"/>
        <v>6480</v>
      </c>
    </row>
    <row r="112" spans="2:33" x14ac:dyDescent="0.15">
      <c r="B112" s="1">
        <f t="shared" si="41"/>
        <v>81</v>
      </c>
      <c r="C112" s="1">
        <f t="shared" si="28"/>
        <v>81</v>
      </c>
      <c r="D112" s="25">
        <v>2.9405580335567796E-2</v>
      </c>
      <c r="E112" s="2">
        <f t="shared" si="29"/>
        <v>86815.362476924944</v>
      </c>
      <c r="F112" s="3">
        <f t="shared" si="42"/>
        <v>0.04</v>
      </c>
      <c r="G112" s="2">
        <f t="shared" si="43"/>
        <v>477.4153</v>
      </c>
      <c r="H112" s="2">
        <f t="shared" si="44"/>
        <v>289.38454158974986</v>
      </c>
      <c r="I112" s="2">
        <f t="shared" si="45"/>
        <v>188.03075841025014</v>
      </c>
      <c r="J112" s="2">
        <f t="shared" si="30"/>
        <v>86627.331718514688</v>
      </c>
      <c r="K112" s="2" t="e">
        <f t="shared" si="49"/>
        <v>#VALUE!</v>
      </c>
      <c r="L112" s="9">
        <v>1.6821425527395739E-3</v>
      </c>
      <c r="M112" s="2" t="e">
        <f t="shared" si="31"/>
        <v>#VALUE!</v>
      </c>
      <c r="N112" s="3">
        <f t="shared" si="32"/>
        <v>0.04</v>
      </c>
      <c r="O112" s="2" t="e">
        <f t="shared" si="33"/>
        <v>#VALUE!</v>
      </c>
      <c r="P112" s="10">
        <f t="shared" si="25"/>
        <v>0.86627331718514688</v>
      </c>
      <c r="Q112" s="13"/>
      <c r="R112" s="2" t="e">
        <f t="shared" si="46"/>
        <v>#VALUE!</v>
      </c>
      <c r="S112" s="2" t="e">
        <f t="shared" si="47"/>
        <v>#VALUE!</v>
      </c>
      <c r="T112" s="2" t="e">
        <f t="shared" ca="1" si="34"/>
        <v>#VALUE!</v>
      </c>
      <c r="U112" s="2" t="e">
        <f t="shared" si="48"/>
        <v>#VALUE!</v>
      </c>
      <c r="V112" s="2" t="e">
        <f t="shared" si="35"/>
        <v>#VALUE!</v>
      </c>
      <c r="W112" s="2">
        <f t="shared" si="36"/>
        <v>477.4153</v>
      </c>
      <c r="X112" s="2" t="e">
        <f t="shared" ca="1" si="37"/>
        <v>#VALUE!</v>
      </c>
      <c r="Y112" s="2" t="e">
        <f t="shared" ca="1" si="38"/>
        <v>#VALUE!</v>
      </c>
      <c r="Z112" s="10">
        <f t="shared" si="39"/>
        <v>0.7637223306473494</v>
      </c>
      <c r="AA112" s="10" t="e">
        <f t="shared" ca="1" si="26"/>
        <v>#VALUE!</v>
      </c>
      <c r="AB112" s="11" t="e">
        <f t="shared" si="40"/>
        <v>#VALUE!</v>
      </c>
      <c r="AC112" s="11" t="e">
        <f>SUM($S$31:S112)/$V$31</f>
        <v>#VALUE!</v>
      </c>
      <c r="AD112" s="11" t="e">
        <f>SUM($S$31:S112,$R$31:R112,$T$31:T112)/$V$31</f>
        <v>#VALUE!</v>
      </c>
      <c r="AE112" s="11" t="e">
        <f>SUM($M$31:M112)/$V$31</f>
        <v>#VALUE!</v>
      </c>
      <c r="AF112" s="11" t="e">
        <f ca="1">SUM(SUM($M$31:M112),-SUM($T$31:T112))/$V$31</f>
        <v>#VALUE!</v>
      </c>
      <c r="AG112">
        <f t="shared" si="27"/>
        <v>6642</v>
      </c>
    </row>
    <row r="113" spans="2:33" x14ac:dyDescent="0.15">
      <c r="B113" s="1">
        <f t="shared" si="41"/>
        <v>82</v>
      </c>
      <c r="C113" s="1">
        <f t="shared" si="28"/>
        <v>82</v>
      </c>
      <c r="D113" s="25">
        <v>2.9760071560584703E-2</v>
      </c>
      <c r="E113" s="2">
        <f t="shared" si="29"/>
        <v>86627.331718514688</v>
      </c>
      <c r="F113" s="3">
        <f t="shared" si="42"/>
        <v>0.04</v>
      </c>
      <c r="G113" s="2">
        <f t="shared" si="43"/>
        <v>477.4153</v>
      </c>
      <c r="H113" s="2">
        <f t="shared" si="44"/>
        <v>288.75777239504896</v>
      </c>
      <c r="I113" s="2">
        <f t="shared" si="45"/>
        <v>188.65752760495104</v>
      </c>
      <c r="J113" s="2">
        <f t="shared" si="30"/>
        <v>86438.674190909733</v>
      </c>
      <c r="K113" s="2" t="e">
        <f t="shared" si="49"/>
        <v>#VALUE!</v>
      </c>
      <c r="L113" s="9">
        <v>1.6821425527395739E-3</v>
      </c>
      <c r="M113" s="2" t="e">
        <f t="shared" si="31"/>
        <v>#VALUE!</v>
      </c>
      <c r="N113" s="3">
        <f t="shared" si="32"/>
        <v>0.04</v>
      </c>
      <c r="O113" s="2" t="e">
        <f t="shared" si="33"/>
        <v>#VALUE!</v>
      </c>
      <c r="P113" s="10">
        <f t="shared" si="25"/>
        <v>0.86438674190909737</v>
      </c>
      <c r="Q113" s="13"/>
      <c r="R113" s="2" t="e">
        <f t="shared" si="46"/>
        <v>#VALUE!</v>
      </c>
      <c r="S113" s="2" t="e">
        <f t="shared" si="47"/>
        <v>#VALUE!</v>
      </c>
      <c r="T113" s="2" t="e">
        <f t="shared" ca="1" si="34"/>
        <v>#VALUE!</v>
      </c>
      <c r="U113" s="2" t="e">
        <f t="shared" si="48"/>
        <v>#VALUE!</v>
      </c>
      <c r="V113" s="2" t="e">
        <f t="shared" si="35"/>
        <v>#VALUE!</v>
      </c>
      <c r="W113" s="2">
        <f t="shared" si="36"/>
        <v>477.4153</v>
      </c>
      <c r="X113" s="2" t="e">
        <f t="shared" ca="1" si="37"/>
        <v>#VALUE!</v>
      </c>
      <c r="Y113" s="2" t="e">
        <f t="shared" ca="1" si="38"/>
        <v>#VALUE!</v>
      </c>
      <c r="Z113" s="10">
        <f t="shared" si="39"/>
        <v>0.76118504715747581</v>
      </c>
      <c r="AA113" s="10" t="e">
        <f t="shared" ca="1" si="26"/>
        <v>#VALUE!</v>
      </c>
      <c r="AB113" s="11" t="e">
        <f t="shared" si="40"/>
        <v>#VALUE!</v>
      </c>
      <c r="AC113" s="11" t="e">
        <f>SUM($S$31:S113)/$V$31</f>
        <v>#VALUE!</v>
      </c>
      <c r="AD113" s="11" t="e">
        <f>SUM($S$31:S113,$R$31:R113,$T$31:T113)/$V$31</f>
        <v>#VALUE!</v>
      </c>
      <c r="AE113" s="11" t="e">
        <f>SUM($M$31:M113)/$V$31</f>
        <v>#VALUE!</v>
      </c>
      <c r="AF113" s="11" t="e">
        <f ca="1">SUM(SUM($M$31:M113),-SUM($T$31:T113))/$V$31</f>
        <v>#VALUE!</v>
      </c>
      <c r="AG113">
        <f t="shared" si="27"/>
        <v>6806</v>
      </c>
    </row>
    <row r="114" spans="2:33" x14ac:dyDescent="0.15">
      <c r="B114" s="1">
        <f t="shared" si="41"/>
        <v>83</v>
      </c>
      <c r="C114" s="1">
        <f t="shared" si="28"/>
        <v>83</v>
      </c>
      <c r="D114" s="25">
        <v>3.0128735081343901E-2</v>
      </c>
      <c r="E114" s="2">
        <f t="shared" si="29"/>
        <v>86438.674190909733</v>
      </c>
      <c r="F114" s="3">
        <f t="shared" si="42"/>
        <v>0.04</v>
      </c>
      <c r="G114" s="2">
        <f t="shared" si="43"/>
        <v>477.4153</v>
      </c>
      <c r="H114" s="2">
        <f t="shared" si="44"/>
        <v>288.12891396969911</v>
      </c>
      <c r="I114" s="2">
        <f t="shared" si="45"/>
        <v>189.28638603030089</v>
      </c>
      <c r="J114" s="2">
        <f t="shared" si="30"/>
        <v>86249.387804879429</v>
      </c>
      <c r="K114" s="2" t="e">
        <f t="shared" si="49"/>
        <v>#VALUE!</v>
      </c>
      <c r="L114" s="9">
        <v>1.6821425527395739E-3</v>
      </c>
      <c r="M114" s="2" t="e">
        <f t="shared" si="31"/>
        <v>#VALUE!</v>
      </c>
      <c r="N114" s="3">
        <f t="shared" si="32"/>
        <v>0.04</v>
      </c>
      <c r="O114" s="2" t="e">
        <f t="shared" si="33"/>
        <v>#VALUE!</v>
      </c>
      <c r="P114" s="10">
        <f t="shared" si="25"/>
        <v>0.86249387804879429</v>
      </c>
      <c r="Q114" s="13"/>
      <c r="R114" s="2" t="e">
        <f t="shared" si="46"/>
        <v>#VALUE!</v>
      </c>
      <c r="S114" s="2" t="e">
        <f t="shared" si="47"/>
        <v>#VALUE!</v>
      </c>
      <c r="T114" s="2" t="e">
        <f t="shared" ca="1" si="34"/>
        <v>#VALUE!</v>
      </c>
      <c r="U114" s="2" t="e">
        <f t="shared" si="48"/>
        <v>#VALUE!</v>
      </c>
      <c r="V114" s="2" t="e">
        <f t="shared" si="35"/>
        <v>#VALUE!</v>
      </c>
      <c r="W114" s="2">
        <f t="shared" si="36"/>
        <v>477.4153</v>
      </c>
      <c r="X114" s="2" t="e">
        <f t="shared" ca="1" si="37"/>
        <v>#VALUE!</v>
      </c>
      <c r="Y114" s="2" t="e">
        <f t="shared" ca="1" si="38"/>
        <v>#VALUE!</v>
      </c>
      <c r="Z114" s="10">
        <f t="shared" si="39"/>
        <v>0.75865619318085564</v>
      </c>
      <c r="AA114" s="10" t="e">
        <f t="shared" ca="1" si="26"/>
        <v>#VALUE!</v>
      </c>
      <c r="AB114" s="11" t="e">
        <f t="shared" si="40"/>
        <v>#VALUE!</v>
      </c>
      <c r="AC114" s="11" t="e">
        <f>SUM($S$31:S114)/$V$31</f>
        <v>#VALUE!</v>
      </c>
      <c r="AD114" s="11" t="e">
        <f>SUM($S$31:S114,$R$31:R114,$T$31:T114)/$V$31</f>
        <v>#VALUE!</v>
      </c>
      <c r="AE114" s="11" t="e">
        <f>SUM($M$31:M114)/$V$31</f>
        <v>#VALUE!</v>
      </c>
      <c r="AF114" s="11" t="e">
        <f ca="1">SUM(SUM($M$31:M114),-SUM($T$31:T114))/$V$31</f>
        <v>#VALUE!</v>
      </c>
      <c r="AG114">
        <f t="shared" si="27"/>
        <v>6972</v>
      </c>
    </row>
    <row r="115" spans="2:33" x14ac:dyDescent="0.15">
      <c r="B115" s="1">
        <f t="shared" si="41"/>
        <v>84</v>
      </c>
      <c r="C115" s="1">
        <f t="shared" si="28"/>
        <v>84</v>
      </c>
      <c r="D115" s="25">
        <v>3.0514129905302799E-2</v>
      </c>
      <c r="E115" s="2">
        <f t="shared" si="29"/>
        <v>86249.387804879429</v>
      </c>
      <c r="F115" s="3">
        <f t="shared" si="42"/>
        <v>0.04</v>
      </c>
      <c r="G115" s="2">
        <f t="shared" si="43"/>
        <v>477.4153</v>
      </c>
      <c r="H115" s="2">
        <f t="shared" si="44"/>
        <v>287.49795934959809</v>
      </c>
      <c r="I115" s="2">
        <f t="shared" si="45"/>
        <v>189.91734065040191</v>
      </c>
      <c r="J115" s="2">
        <f t="shared" si="30"/>
        <v>86059.470464229031</v>
      </c>
      <c r="K115" s="2" t="e">
        <f t="shared" si="49"/>
        <v>#VALUE!</v>
      </c>
      <c r="L115" s="9">
        <v>1.6821425527395739E-3</v>
      </c>
      <c r="M115" s="2" t="e">
        <f t="shared" si="31"/>
        <v>#VALUE!</v>
      </c>
      <c r="N115" s="3">
        <f t="shared" si="32"/>
        <v>0.04</v>
      </c>
      <c r="O115" s="2" t="e">
        <f t="shared" si="33"/>
        <v>#VALUE!</v>
      </c>
      <c r="P115" s="10">
        <f t="shared" si="25"/>
        <v>0.86059470464229026</v>
      </c>
      <c r="Q115" s="13"/>
      <c r="R115" s="2" t="e">
        <f t="shared" si="46"/>
        <v>#VALUE!</v>
      </c>
      <c r="S115" s="2" t="e">
        <f t="shared" si="47"/>
        <v>#VALUE!</v>
      </c>
      <c r="T115" s="2" t="e">
        <f t="shared" ca="1" si="34"/>
        <v>#VALUE!</v>
      </c>
      <c r="U115" s="2" t="e">
        <f t="shared" si="48"/>
        <v>#VALUE!</v>
      </c>
      <c r="V115" s="2" t="e">
        <f t="shared" si="35"/>
        <v>#VALUE!</v>
      </c>
      <c r="W115" s="2">
        <f t="shared" si="36"/>
        <v>477.4153</v>
      </c>
      <c r="X115" s="2" t="e">
        <f t="shared" ca="1" si="37"/>
        <v>#VALUE!</v>
      </c>
      <c r="Y115" s="2" t="e">
        <f t="shared" ca="1" si="38"/>
        <v>#VALUE!</v>
      </c>
      <c r="Z115" s="10">
        <f t="shared" si="39"/>
        <v>0.75613574071246115</v>
      </c>
      <c r="AA115" s="10" t="e">
        <f t="shared" ca="1" si="26"/>
        <v>#VALUE!</v>
      </c>
      <c r="AB115" s="11" t="e">
        <f t="shared" si="40"/>
        <v>#VALUE!</v>
      </c>
      <c r="AC115" s="11" t="e">
        <f>SUM($S$31:S115)/$V$31</f>
        <v>#VALUE!</v>
      </c>
      <c r="AD115" s="11" t="e">
        <f>SUM($S$31:S115,$R$31:R115,$T$31:T115)/$V$31</f>
        <v>#VALUE!</v>
      </c>
      <c r="AE115" s="11" t="e">
        <f>SUM($M$31:M115)/$V$31</f>
        <v>#VALUE!</v>
      </c>
      <c r="AF115" s="11" t="e">
        <f ca="1">SUM(SUM($M$31:M115),-SUM($T$31:T115))/$V$31</f>
        <v>#VALUE!</v>
      </c>
      <c r="AG115">
        <f t="shared" si="27"/>
        <v>7140</v>
      </c>
    </row>
    <row r="116" spans="2:33" x14ac:dyDescent="0.15">
      <c r="B116" s="1">
        <f t="shared" si="41"/>
        <v>85</v>
      </c>
      <c r="C116" s="1">
        <f t="shared" si="28"/>
        <v>85</v>
      </c>
      <c r="D116" s="25">
        <v>3.0890433983210799E-2</v>
      </c>
      <c r="E116" s="2">
        <f t="shared" si="29"/>
        <v>86059.470464229031</v>
      </c>
      <c r="F116" s="3">
        <f t="shared" si="42"/>
        <v>0.04</v>
      </c>
      <c r="G116" s="2">
        <f t="shared" si="43"/>
        <v>477.4153</v>
      </c>
      <c r="H116" s="2">
        <f t="shared" si="44"/>
        <v>286.86490154743012</v>
      </c>
      <c r="I116" s="2">
        <f t="shared" si="45"/>
        <v>190.55039845256988</v>
      </c>
      <c r="J116" s="2">
        <f t="shared" si="30"/>
        <v>85868.92006577646</v>
      </c>
      <c r="K116" s="2" t="e">
        <f t="shared" si="49"/>
        <v>#VALUE!</v>
      </c>
      <c r="L116" s="9">
        <v>1.6821425527395739E-3</v>
      </c>
      <c r="M116" s="2" t="e">
        <f t="shared" si="31"/>
        <v>#VALUE!</v>
      </c>
      <c r="N116" s="3">
        <f t="shared" si="32"/>
        <v>0.04</v>
      </c>
      <c r="O116" s="2" t="e">
        <f t="shared" si="33"/>
        <v>#VALUE!</v>
      </c>
      <c r="P116" s="10">
        <f t="shared" si="25"/>
        <v>0.85868920065776455</v>
      </c>
      <c r="Q116" s="13"/>
      <c r="R116" s="2" t="e">
        <f t="shared" si="46"/>
        <v>#VALUE!</v>
      </c>
      <c r="S116" s="2" t="e">
        <f t="shared" si="47"/>
        <v>#VALUE!</v>
      </c>
      <c r="T116" s="2" t="e">
        <f t="shared" ca="1" si="34"/>
        <v>#VALUE!</v>
      </c>
      <c r="U116" s="2" t="e">
        <f t="shared" si="48"/>
        <v>#VALUE!</v>
      </c>
      <c r="V116" s="2" t="e">
        <f t="shared" si="35"/>
        <v>#VALUE!</v>
      </c>
      <c r="W116" s="2">
        <f t="shared" si="36"/>
        <v>477.4153</v>
      </c>
      <c r="X116" s="2" t="e">
        <f t="shared" ca="1" si="37"/>
        <v>#VALUE!</v>
      </c>
      <c r="Y116" s="2" t="e">
        <f t="shared" ca="1" si="38"/>
        <v>#VALUE!</v>
      </c>
      <c r="Z116" s="10">
        <f t="shared" si="39"/>
        <v>0.75362366184030494</v>
      </c>
      <c r="AA116" s="10" t="e">
        <f t="shared" ca="1" si="26"/>
        <v>#VALUE!</v>
      </c>
      <c r="AB116" s="11" t="e">
        <f t="shared" si="40"/>
        <v>#VALUE!</v>
      </c>
      <c r="AC116" s="11" t="e">
        <f>SUM($S$31:S116)/$V$31</f>
        <v>#VALUE!</v>
      </c>
      <c r="AD116" s="11" t="e">
        <f>SUM($S$31:S116,$R$31:R116,$T$31:T116)/$V$31</f>
        <v>#VALUE!</v>
      </c>
      <c r="AE116" s="11" t="e">
        <f>SUM($M$31:M116)/$V$31</f>
        <v>#VALUE!</v>
      </c>
      <c r="AF116" s="11" t="e">
        <f ca="1">SUM(SUM($M$31:M116),-SUM($T$31:T116))/$V$31</f>
        <v>#VALUE!</v>
      </c>
      <c r="AG116">
        <f t="shared" si="27"/>
        <v>7310</v>
      </c>
    </row>
    <row r="117" spans="2:33" x14ac:dyDescent="0.15">
      <c r="B117" s="1">
        <f t="shared" si="41"/>
        <v>86</v>
      </c>
      <c r="C117" s="1">
        <f t="shared" si="28"/>
        <v>86</v>
      </c>
      <c r="D117" s="25">
        <v>3.1257254764616098E-2</v>
      </c>
      <c r="E117" s="2">
        <f t="shared" si="29"/>
        <v>85868.92006577646</v>
      </c>
      <c r="F117" s="3">
        <f t="shared" si="42"/>
        <v>0.04</v>
      </c>
      <c r="G117" s="2">
        <f t="shared" si="43"/>
        <v>477.4153</v>
      </c>
      <c r="H117" s="2">
        <f t="shared" si="44"/>
        <v>286.22973355258824</v>
      </c>
      <c r="I117" s="2">
        <f t="shared" si="45"/>
        <v>191.18556644741176</v>
      </c>
      <c r="J117" s="2">
        <f t="shared" si="30"/>
        <v>85677.734499329046</v>
      </c>
      <c r="K117" s="2" t="e">
        <f t="shared" si="49"/>
        <v>#VALUE!</v>
      </c>
      <c r="L117" s="9">
        <v>1.6821425527395739E-3</v>
      </c>
      <c r="M117" s="2" t="e">
        <f t="shared" si="31"/>
        <v>#VALUE!</v>
      </c>
      <c r="N117" s="3">
        <f t="shared" si="32"/>
        <v>0.04</v>
      </c>
      <c r="O117" s="2" t="e">
        <f t="shared" si="33"/>
        <v>#VALUE!</v>
      </c>
      <c r="P117" s="10">
        <f t="shared" si="25"/>
        <v>0.8567773449932905</v>
      </c>
      <c r="Q117" s="13"/>
      <c r="R117" s="2" t="e">
        <f t="shared" si="46"/>
        <v>#VALUE!</v>
      </c>
      <c r="S117" s="2" t="e">
        <f t="shared" si="47"/>
        <v>#VALUE!</v>
      </c>
      <c r="T117" s="2" t="e">
        <f t="shared" ca="1" si="34"/>
        <v>#VALUE!</v>
      </c>
      <c r="U117" s="2" t="e">
        <f t="shared" si="48"/>
        <v>#VALUE!</v>
      </c>
      <c r="V117" s="2" t="e">
        <f t="shared" si="35"/>
        <v>#VALUE!</v>
      </c>
      <c r="W117" s="2">
        <f t="shared" si="36"/>
        <v>477.4153</v>
      </c>
      <c r="X117" s="2" t="e">
        <f t="shared" ca="1" si="37"/>
        <v>#VALUE!</v>
      </c>
      <c r="Y117" s="2" t="e">
        <f t="shared" ca="1" si="38"/>
        <v>#VALUE!</v>
      </c>
      <c r="Z117" s="10">
        <f t="shared" si="39"/>
        <v>0.75111992874513056</v>
      </c>
      <c r="AA117" s="10" t="e">
        <f t="shared" ca="1" si="26"/>
        <v>#VALUE!</v>
      </c>
      <c r="AB117" s="11" t="e">
        <f t="shared" si="40"/>
        <v>#VALUE!</v>
      </c>
      <c r="AC117" s="11" t="e">
        <f>SUM($S$31:S117)/$V$31</f>
        <v>#VALUE!</v>
      </c>
      <c r="AD117" s="11" t="e">
        <f>SUM($S$31:S117,$R$31:R117,$T$31:T117)/$V$31</f>
        <v>#VALUE!</v>
      </c>
      <c r="AE117" s="11" t="e">
        <f>SUM($M$31:M117)/$V$31</f>
        <v>#VALUE!</v>
      </c>
      <c r="AF117" s="11" t="e">
        <f ca="1">SUM(SUM($M$31:M117),-SUM($T$31:T117))/$V$31</f>
        <v>#VALUE!</v>
      </c>
      <c r="AG117">
        <f t="shared" si="27"/>
        <v>7482</v>
      </c>
    </row>
    <row r="118" spans="2:33" x14ac:dyDescent="0.15">
      <c r="B118" s="1">
        <f t="shared" si="41"/>
        <v>87</v>
      </c>
      <c r="C118" s="1">
        <f t="shared" si="28"/>
        <v>87</v>
      </c>
      <c r="D118" s="25">
        <v>3.15999542442695E-2</v>
      </c>
      <c r="E118" s="2">
        <f t="shared" si="29"/>
        <v>85677.734499329046</v>
      </c>
      <c r="F118" s="3">
        <f t="shared" si="42"/>
        <v>0.04</v>
      </c>
      <c r="G118" s="2">
        <f t="shared" si="43"/>
        <v>477.4153</v>
      </c>
      <c r="H118" s="2">
        <f t="shared" si="44"/>
        <v>285.59244833109682</v>
      </c>
      <c r="I118" s="2">
        <f t="shared" si="45"/>
        <v>191.82285166890318</v>
      </c>
      <c r="J118" s="2">
        <f t="shared" si="30"/>
        <v>85485.911647660148</v>
      </c>
      <c r="K118" s="2" t="e">
        <f t="shared" si="49"/>
        <v>#VALUE!</v>
      </c>
      <c r="L118" s="9">
        <v>1.6821425527395739E-3</v>
      </c>
      <c r="M118" s="2" t="e">
        <f t="shared" si="31"/>
        <v>#VALUE!</v>
      </c>
      <c r="N118" s="3">
        <f t="shared" si="32"/>
        <v>0.04</v>
      </c>
      <c r="O118" s="2" t="e">
        <f t="shared" si="33"/>
        <v>#VALUE!</v>
      </c>
      <c r="P118" s="10">
        <f t="shared" si="25"/>
        <v>0.85485911647660151</v>
      </c>
      <c r="Q118" s="13"/>
      <c r="R118" s="2" t="e">
        <f t="shared" si="46"/>
        <v>#VALUE!</v>
      </c>
      <c r="S118" s="2" t="e">
        <f t="shared" si="47"/>
        <v>#VALUE!</v>
      </c>
      <c r="T118" s="2" t="e">
        <f t="shared" ca="1" si="34"/>
        <v>#VALUE!</v>
      </c>
      <c r="U118" s="2" t="e">
        <f t="shared" si="48"/>
        <v>#VALUE!</v>
      </c>
      <c r="V118" s="2" t="e">
        <f t="shared" si="35"/>
        <v>#VALUE!</v>
      </c>
      <c r="W118" s="2">
        <f t="shared" si="36"/>
        <v>477.4153</v>
      </c>
      <c r="X118" s="2" t="e">
        <f t="shared" ca="1" si="37"/>
        <v>#VALUE!</v>
      </c>
      <c r="Y118" s="2" t="e">
        <f t="shared" ca="1" si="38"/>
        <v>#VALUE!</v>
      </c>
      <c r="Z118" s="10">
        <f t="shared" si="39"/>
        <v>0.74862451370010408</v>
      </c>
      <c r="AA118" s="10" t="e">
        <f t="shared" ca="1" si="26"/>
        <v>#VALUE!</v>
      </c>
      <c r="AB118" s="11" t="e">
        <f t="shared" si="40"/>
        <v>#VALUE!</v>
      </c>
      <c r="AC118" s="11" t="e">
        <f>SUM($S$31:S118)/$V$31</f>
        <v>#VALUE!</v>
      </c>
      <c r="AD118" s="11" t="e">
        <f>SUM($S$31:S118,$R$31:R118,$T$31:T118)/$V$31</f>
        <v>#VALUE!</v>
      </c>
      <c r="AE118" s="11" t="e">
        <f>SUM($M$31:M118)/$V$31</f>
        <v>#VALUE!</v>
      </c>
      <c r="AF118" s="11" t="e">
        <f ca="1">SUM(SUM($M$31:M118),-SUM($T$31:T118))/$V$31</f>
        <v>#VALUE!</v>
      </c>
      <c r="AG118">
        <f t="shared" si="27"/>
        <v>7656</v>
      </c>
    </row>
    <row r="119" spans="2:33" x14ac:dyDescent="0.15">
      <c r="B119" s="1">
        <f t="shared" si="41"/>
        <v>88</v>
      </c>
      <c r="C119" s="1">
        <f t="shared" si="28"/>
        <v>88</v>
      </c>
      <c r="D119" s="25">
        <v>3.19181689719025E-2</v>
      </c>
      <c r="E119" s="2">
        <f t="shared" si="29"/>
        <v>85485.911647660148</v>
      </c>
      <c r="F119" s="3">
        <f t="shared" si="42"/>
        <v>0.04</v>
      </c>
      <c r="G119" s="2">
        <f t="shared" si="43"/>
        <v>477.4153</v>
      </c>
      <c r="H119" s="2">
        <f t="shared" si="44"/>
        <v>284.95303882553384</v>
      </c>
      <c r="I119" s="2">
        <f t="shared" si="45"/>
        <v>192.46226117446616</v>
      </c>
      <c r="J119" s="2">
        <f t="shared" si="30"/>
        <v>85293.449386485678</v>
      </c>
      <c r="K119" s="2" t="e">
        <f t="shared" si="49"/>
        <v>#VALUE!</v>
      </c>
      <c r="L119" s="9">
        <v>1.6821425527395739E-3</v>
      </c>
      <c r="M119" s="2" t="e">
        <f t="shared" si="31"/>
        <v>#VALUE!</v>
      </c>
      <c r="N119" s="3">
        <f t="shared" si="32"/>
        <v>0.04</v>
      </c>
      <c r="O119" s="2" t="e">
        <f t="shared" si="33"/>
        <v>#VALUE!</v>
      </c>
      <c r="P119" s="10">
        <f t="shared" si="25"/>
        <v>0.85293449386485676</v>
      </c>
      <c r="Q119" s="13"/>
      <c r="R119" s="2" t="e">
        <f t="shared" si="46"/>
        <v>#VALUE!</v>
      </c>
      <c r="S119" s="2" t="e">
        <f t="shared" si="47"/>
        <v>#VALUE!</v>
      </c>
      <c r="T119" s="2" t="e">
        <f t="shared" ca="1" si="34"/>
        <v>#VALUE!</v>
      </c>
      <c r="U119" s="2" t="e">
        <f t="shared" si="48"/>
        <v>#VALUE!</v>
      </c>
      <c r="V119" s="2" t="e">
        <f t="shared" si="35"/>
        <v>#VALUE!</v>
      </c>
      <c r="W119" s="2">
        <f t="shared" si="36"/>
        <v>477.4153</v>
      </c>
      <c r="X119" s="2" t="e">
        <f t="shared" ca="1" si="37"/>
        <v>#VALUE!</v>
      </c>
      <c r="Y119" s="2" t="e">
        <f t="shared" ca="1" si="38"/>
        <v>#VALUE!</v>
      </c>
      <c r="Z119" s="10">
        <f t="shared" si="39"/>
        <v>0.74613738907050742</v>
      </c>
      <c r="AA119" s="10" t="e">
        <f t="shared" ca="1" si="26"/>
        <v>#VALUE!</v>
      </c>
      <c r="AB119" s="11" t="e">
        <f t="shared" si="40"/>
        <v>#VALUE!</v>
      </c>
      <c r="AC119" s="11" t="e">
        <f>SUM($S$31:S119)/$V$31</f>
        <v>#VALUE!</v>
      </c>
      <c r="AD119" s="11" t="e">
        <f>SUM($S$31:S119,$R$31:R119,$T$31:T119)/$V$31</f>
        <v>#VALUE!</v>
      </c>
      <c r="AE119" s="11" t="e">
        <f>SUM($M$31:M119)/$V$31</f>
        <v>#VALUE!</v>
      </c>
      <c r="AF119" s="11" t="e">
        <f ca="1">SUM(SUM($M$31:M119),-SUM($T$31:T119))/$V$31</f>
        <v>#VALUE!</v>
      </c>
      <c r="AG119">
        <f t="shared" si="27"/>
        <v>7832</v>
      </c>
    </row>
    <row r="120" spans="2:33" x14ac:dyDescent="0.15">
      <c r="B120" s="1">
        <f t="shared" si="41"/>
        <v>89</v>
      </c>
      <c r="C120" s="1">
        <f t="shared" si="28"/>
        <v>89</v>
      </c>
      <c r="D120" s="25">
        <v>3.2207001136624301E-2</v>
      </c>
      <c r="E120" s="2">
        <f t="shared" si="29"/>
        <v>85293.449386485678</v>
      </c>
      <c r="F120" s="3">
        <f t="shared" si="42"/>
        <v>0.04</v>
      </c>
      <c r="G120" s="2">
        <f t="shared" si="43"/>
        <v>477.4153</v>
      </c>
      <c r="H120" s="2">
        <f t="shared" si="44"/>
        <v>284.3114979549523</v>
      </c>
      <c r="I120" s="2">
        <f t="shared" si="45"/>
        <v>193.1038020450477</v>
      </c>
      <c r="J120" s="2">
        <f t="shared" si="30"/>
        <v>85100.345584440627</v>
      </c>
      <c r="K120" s="2" t="e">
        <f t="shared" si="49"/>
        <v>#VALUE!</v>
      </c>
      <c r="L120" s="9">
        <v>1.6821425527395739E-3</v>
      </c>
      <c r="M120" s="2" t="e">
        <f t="shared" si="31"/>
        <v>#VALUE!</v>
      </c>
      <c r="N120" s="3">
        <f t="shared" si="32"/>
        <v>0.04</v>
      </c>
      <c r="O120" s="2" t="e">
        <f t="shared" si="33"/>
        <v>#VALUE!</v>
      </c>
      <c r="P120" s="10">
        <f t="shared" si="25"/>
        <v>0.85100345584440629</v>
      </c>
      <c r="Q120" s="13"/>
      <c r="R120" s="2" t="e">
        <f t="shared" si="46"/>
        <v>#VALUE!</v>
      </c>
      <c r="S120" s="2" t="e">
        <f t="shared" si="47"/>
        <v>#VALUE!</v>
      </c>
      <c r="T120" s="2" t="e">
        <f t="shared" ca="1" si="34"/>
        <v>#VALUE!</v>
      </c>
      <c r="U120" s="2" t="e">
        <f t="shared" si="48"/>
        <v>#VALUE!</v>
      </c>
      <c r="V120" s="2" t="e">
        <f t="shared" si="35"/>
        <v>#VALUE!</v>
      </c>
      <c r="W120" s="2">
        <f t="shared" si="36"/>
        <v>477.4153</v>
      </c>
      <c r="X120" s="2" t="e">
        <f t="shared" ca="1" si="37"/>
        <v>#VALUE!</v>
      </c>
      <c r="Y120" s="2" t="e">
        <f t="shared" ca="1" si="38"/>
        <v>#VALUE!</v>
      </c>
      <c r="Z120" s="10">
        <f t="shared" si="39"/>
        <v>0.7436585273134324</v>
      </c>
      <c r="AA120" s="10" t="e">
        <f t="shared" ca="1" si="26"/>
        <v>#VALUE!</v>
      </c>
      <c r="AB120" s="11" t="e">
        <f t="shared" si="40"/>
        <v>#VALUE!</v>
      </c>
      <c r="AC120" s="11" t="e">
        <f>SUM($S$31:S120)/$V$31</f>
        <v>#VALUE!</v>
      </c>
      <c r="AD120" s="11" t="e">
        <f>SUM($S$31:S120,$R$31:R120,$T$31:T120)/$V$31</f>
        <v>#VALUE!</v>
      </c>
      <c r="AE120" s="11" t="e">
        <f>SUM($M$31:M120)/$V$31</f>
        <v>#VALUE!</v>
      </c>
      <c r="AF120" s="11" t="e">
        <f ca="1">SUM(SUM($M$31:M120),-SUM($T$31:T120))/$V$31</f>
        <v>#VALUE!</v>
      </c>
      <c r="AG120">
        <f t="shared" si="27"/>
        <v>8010</v>
      </c>
    </row>
    <row r="121" spans="2:33" x14ac:dyDescent="0.15">
      <c r="B121" s="1">
        <f t="shared" si="41"/>
        <v>90</v>
      </c>
      <c r="C121" s="1">
        <f t="shared" si="28"/>
        <v>90</v>
      </c>
      <c r="D121" s="25">
        <v>3.2471450045311004E-2</v>
      </c>
      <c r="E121" s="2">
        <f t="shared" si="29"/>
        <v>85100.345584440627</v>
      </c>
      <c r="F121" s="3">
        <f t="shared" si="42"/>
        <v>0.04</v>
      </c>
      <c r="G121" s="2">
        <f t="shared" si="43"/>
        <v>477.4153</v>
      </c>
      <c r="H121" s="2">
        <f t="shared" si="44"/>
        <v>283.66781861480212</v>
      </c>
      <c r="I121" s="2">
        <f t="shared" si="45"/>
        <v>193.74748138519789</v>
      </c>
      <c r="J121" s="2">
        <f t="shared" si="30"/>
        <v>84906.598103055425</v>
      </c>
      <c r="K121" s="2" t="e">
        <f t="shared" si="49"/>
        <v>#VALUE!</v>
      </c>
      <c r="L121" s="9">
        <v>1.6821425527395739E-3</v>
      </c>
      <c r="M121" s="2" t="e">
        <f t="shared" si="31"/>
        <v>#VALUE!</v>
      </c>
      <c r="N121" s="3">
        <f t="shared" si="32"/>
        <v>0.04</v>
      </c>
      <c r="O121" s="2" t="e">
        <f t="shared" si="33"/>
        <v>#VALUE!</v>
      </c>
      <c r="P121" s="10">
        <f t="shared" si="25"/>
        <v>0.8490659810305542</v>
      </c>
      <c r="Q121" s="13"/>
      <c r="R121" s="2" t="e">
        <f t="shared" si="46"/>
        <v>#VALUE!</v>
      </c>
      <c r="S121" s="2" t="e">
        <f t="shared" si="47"/>
        <v>#VALUE!</v>
      </c>
      <c r="T121" s="2" t="e">
        <f t="shared" ca="1" si="34"/>
        <v>#VALUE!</v>
      </c>
      <c r="U121" s="2" t="e">
        <f t="shared" si="48"/>
        <v>#VALUE!</v>
      </c>
      <c r="V121" s="2" t="e">
        <f t="shared" si="35"/>
        <v>#VALUE!</v>
      </c>
      <c r="W121" s="2">
        <f t="shared" si="36"/>
        <v>477.4153</v>
      </c>
      <c r="X121" s="2" t="e">
        <f t="shared" ca="1" si="37"/>
        <v>#VALUE!</v>
      </c>
      <c r="Y121" s="2" t="e">
        <f t="shared" ca="1" si="38"/>
        <v>#VALUE!</v>
      </c>
      <c r="Z121" s="10">
        <f t="shared" si="39"/>
        <v>0.741187900977475</v>
      </c>
      <c r="AA121" s="10" t="e">
        <f t="shared" ca="1" si="26"/>
        <v>#VALUE!</v>
      </c>
      <c r="AB121" s="11" t="e">
        <f t="shared" si="40"/>
        <v>#VALUE!</v>
      </c>
      <c r="AC121" s="11" t="e">
        <f>SUM($S$31:S121)/$V$31</f>
        <v>#VALUE!</v>
      </c>
      <c r="AD121" s="11" t="e">
        <f>SUM($S$31:S121,$R$31:R121,$T$31:T121)/$V$31</f>
        <v>#VALUE!</v>
      </c>
      <c r="AE121" s="11" t="e">
        <f>SUM($M$31:M121)/$V$31</f>
        <v>#VALUE!</v>
      </c>
      <c r="AF121" s="11" t="e">
        <f ca="1">SUM(SUM($M$31:M121),-SUM($T$31:T121))/$V$31</f>
        <v>#VALUE!</v>
      </c>
      <c r="AG121">
        <f t="shared" si="27"/>
        <v>8190</v>
      </c>
    </row>
    <row r="122" spans="2:33" x14ac:dyDescent="0.15">
      <c r="B122" s="1">
        <f t="shared" si="41"/>
        <v>91</v>
      </c>
      <c r="C122" s="1">
        <f t="shared" si="28"/>
        <v>91</v>
      </c>
      <c r="D122" s="25">
        <v>3.2711372494339502E-2</v>
      </c>
      <c r="E122" s="2">
        <f t="shared" si="29"/>
        <v>84906.598103055425</v>
      </c>
      <c r="F122" s="3">
        <f t="shared" si="42"/>
        <v>0.04</v>
      </c>
      <c r="G122" s="2">
        <f t="shared" si="43"/>
        <v>477.4153</v>
      </c>
      <c r="H122" s="2">
        <f t="shared" si="44"/>
        <v>283.02199367685142</v>
      </c>
      <c r="I122" s="2">
        <f t="shared" si="45"/>
        <v>194.39330632314858</v>
      </c>
      <c r="J122" s="2">
        <f t="shared" si="30"/>
        <v>84712.204796732272</v>
      </c>
      <c r="K122" s="2" t="e">
        <f t="shared" si="49"/>
        <v>#VALUE!</v>
      </c>
      <c r="L122" s="9">
        <v>1.6821425527395739E-3</v>
      </c>
      <c r="M122" s="2" t="e">
        <f t="shared" si="31"/>
        <v>#VALUE!</v>
      </c>
      <c r="N122" s="3">
        <f t="shared" si="32"/>
        <v>0.04</v>
      </c>
      <c r="O122" s="2" t="e">
        <f t="shared" si="33"/>
        <v>#VALUE!</v>
      </c>
      <c r="P122" s="10">
        <f t="shared" si="25"/>
        <v>0.84712204796732271</v>
      </c>
      <c r="Q122" s="13"/>
      <c r="R122" s="2" t="e">
        <f t="shared" si="46"/>
        <v>#VALUE!</v>
      </c>
      <c r="S122" s="2" t="e">
        <f t="shared" si="47"/>
        <v>#VALUE!</v>
      </c>
      <c r="T122" s="2" t="e">
        <f t="shared" ca="1" si="34"/>
        <v>#VALUE!</v>
      </c>
      <c r="U122" s="2" t="e">
        <f t="shared" si="48"/>
        <v>#VALUE!</v>
      </c>
      <c r="V122" s="2" t="e">
        <f t="shared" si="35"/>
        <v>#VALUE!</v>
      </c>
      <c r="W122" s="2">
        <f t="shared" si="36"/>
        <v>477.4153</v>
      </c>
      <c r="X122" s="2" t="e">
        <f t="shared" ca="1" si="37"/>
        <v>#VALUE!</v>
      </c>
      <c r="Y122" s="2" t="e">
        <f t="shared" ca="1" si="38"/>
        <v>#VALUE!</v>
      </c>
      <c r="Z122" s="10">
        <f t="shared" si="39"/>
        <v>0.73872548270243232</v>
      </c>
      <c r="AA122" s="10" t="e">
        <f t="shared" ca="1" si="26"/>
        <v>#VALUE!</v>
      </c>
      <c r="AB122" s="11" t="e">
        <f t="shared" si="40"/>
        <v>#VALUE!</v>
      </c>
      <c r="AC122" s="11" t="e">
        <f>SUM($S$31:S122)/$V$31</f>
        <v>#VALUE!</v>
      </c>
      <c r="AD122" s="11" t="e">
        <f>SUM($S$31:S122,$R$31:R122,$T$31:T122)/$V$31</f>
        <v>#VALUE!</v>
      </c>
      <c r="AE122" s="11" t="e">
        <f>SUM($M$31:M122)/$V$31</f>
        <v>#VALUE!</v>
      </c>
      <c r="AF122" s="11" t="e">
        <f ca="1">SUM(SUM($M$31:M122),-SUM($T$31:T122))/$V$31</f>
        <v>#VALUE!</v>
      </c>
      <c r="AG122">
        <f t="shared" si="27"/>
        <v>8372</v>
      </c>
    </row>
    <row r="123" spans="2:33" x14ac:dyDescent="0.15">
      <c r="B123" s="1">
        <f t="shared" si="41"/>
        <v>92</v>
      </c>
      <c r="C123" s="1">
        <f t="shared" si="28"/>
        <v>92</v>
      </c>
      <c r="D123" s="25">
        <v>3.2918964752568801E-2</v>
      </c>
      <c r="E123" s="2">
        <f t="shared" si="29"/>
        <v>84712.204796732272</v>
      </c>
      <c r="F123" s="3">
        <f t="shared" si="42"/>
        <v>0.04</v>
      </c>
      <c r="G123" s="2">
        <f t="shared" si="43"/>
        <v>477.4153</v>
      </c>
      <c r="H123" s="2">
        <f t="shared" si="44"/>
        <v>282.37401598910759</v>
      </c>
      <c r="I123" s="2">
        <f t="shared" si="45"/>
        <v>195.04128401089241</v>
      </c>
      <c r="J123" s="2">
        <f t="shared" si="30"/>
        <v>84517.163512721381</v>
      </c>
      <c r="K123" s="2" t="e">
        <f t="shared" si="49"/>
        <v>#VALUE!</v>
      </c>
      <c r="L123" s="9">
        <v>1.6821425527395739E-3</v>
      </c>
      <c r="M123" s="2" t="e">
        <f t="shared" si="31"/>
        <v>#VALUE!</v>
      </c>
      <c r="N123" s="3">
        <f t="shared" si="32"/>
        <v>0.04</v>
      </c>
      <c r="O123" s="2" t="e">
        <f t="shared" si="33"/>
        <v>#VALUE!</v>
      </c>
      <c r="P123" s="10">
        <f t="shared" si="25"/>
        <v>0.84517163512721383</v>
      </c>
      <c r="Q123" s="13"/>
      <c r="R123" s="2" t="e">
        <f t="shared" si="46"/>
        <v>#VALUE!</v>
      </c>
      <c r="S123" s="2" t="e">
        <f t="shared" si="47"/>
        <v>#VALUE!</v>
      </c>
      <c r="T123" s="2" t="e">
        <f t="shared" ca="1" si="34"/>
        <v>#VALUE!</v>
      </c>
      <c r="U123" s="2" t="e">
        <f t="shared" si="48"/>
        <v>#VALUE!</v>
      </c>
      <c r="V123" s="2" t="e">
        <f t="shared" si="35"/>
        <v>#VALUE!</v>
      </c>
      <c r="W123" s="2">
        <f t="shared" si="36"/>
        <v>477.4153</v>
      </c>
      <c r="X123" s="2" t="e">
        <f t="shared" ca="1" si="37"/>
        <v>#VALUE!</v>
      </c>
      <c r="Y123" s="2" t="e">
        <f t="shared" ca="1" si="38"/>
        <v>#VALUE!</v>
      </c>
      <c r="Z123" s="10">
        <f t="shared" si="39"/>
        <v>0.73627124521899912</v>
      </c>
      <c r="AA123" s="10" t="e">
        <f t="shared" ca="1" si="26"/>
        <v>#VALUE!</v>
      </c>
      <c r="AB123" s="11" t="e">
        <f t="shared" si="40"/>
        <v>#VALUE!</v>
      </c>
      <c r="AC123" s="11" t="e">
        <f>SUM($S$31:S123)/$V$31</f>
        <v>#VALUE!</v>
      </c>
      <c r="AD123" s="11" t="e">
        <f>SUM($S$31:S123,$R$31:R123,$T$31:T123)/$V$31</f>
        <v>#VALUE!</v>
      </c>
      <c r="AE123" s="11" t="e">
        <f>SUM($M$31:M123)/$V$31</f>
        <v>#VALUE!</v>
      </c>
      <c r="AF123" s="11" t="e">
        <f ca="1">SUM(SUM($M$31:M123),-SUM($T$31:T123))/$V$31</f>
        <v>#VALUE!</v>
      </c>
      <c r="AG123">
        <f t="shared" si="27"/>
        <v>8556</v>
      </c>
    </row>
    <row r="124" spans="2:33" x14ac:dyDescent="0.15">
      <c r="B124" s="1">
        <f t="shared" si="41"/>
        <v>93</v>
      </c>
      <c r="C124" s="1">
        <f t="shared" si="28"/>
        <v>93</v>
      </c>
      <c r="D124" s="25">
        <v>3.3102294360615798E-2</v>
      </c>
      <c r="E124" s="2">
        <f t="shared" si="29"/>
        <v>84517.163512721381</v>
      </c>
      <c r="F124" s="3">
        <f t="shared" si="42"/>
        <v>0.04</v>
      </c>
      <c r="G124" s="2">
        <f t="shared" si="43"/>
        <v>477.4153</v>
      </c>
      <c r="H124" s="2">
        <f t="shared" si="44"/>
        <v>281.72387837573797</v>
      </c>
      <c r="I124" s="2">
        <f t="shared" si="45"/>
        <v>195.69142162426203</v>
      </c>
      <c r="J124" s="2">
        <f t="shared" si="30"/>
        <v>84321.472091097123</v>
      </c>
      <c r="K124" s="2" t="e">
        <f t="shared" si="49"/>
        <v>#VALUE!</v>
      </c>
      <c r="L124" s="9">
        <v>1.6821425527395739E-3</v>
      </c>
      <c r="M124" s="2" t="e">
        <f t="shared" si="31"/>
        <v>#VALUE!</v>
      </c>
      <c r="N124" s="3">
        <f t="shared" si="32"/>
        <v>0.04</v>
      </c>
      <c r="O124" s="2" t="e">
        <f t="shared" si="33"/>
        <v>#VALUE!</v>
      </c>
      <c r="P124" s="10">
        <f t="shared" si="25"/>
        <v>0.84321472091097127</v>
      </c>
      <c r="Q124" s="13"/>
      <c r="R124" s="2" t="e">
        <f t="shared" si="46"/>
        <v>#VALUE!</v>
      </c>
      <c r="S124" s="2" t="e">
        <f t="shared" si="47"/>
        <v>#VALUE!</v>
      </c>
      <c r="T124" s="2" t="e">
        <f t="shared" ca="1" si="34"/>
        <v>#VALUE!</v>
      </c>
      <c r="U124" s="2" t="e">
        <f t="shared" si="48"/>
        <v>#VALUE!</v>
      </c>
      <c r="V124" s="2" t="e">
        <f t="shared" si="35"/>
        <v>#VALUE!</v>
      </c>
      <c r="W124" s="2">
        <f t="shared" si="36"/>
        <v>477.4153</v>
      </c>
      <c r="X124" s="2" t="e">
        <f t="shared" ca="1" si="37"/>
        <v>#VALUE!</v>
      </c>
      <c r="Y124" s="2" t="e">
        <f t="shared" ca="1" si="38"/>
        <v>#VALUE!</v>
      </c>
      <c r="Z124" s="10">
        <f t="shared" si="39"/>
        <v>0.73382516134846543</v>
      </c>
      <c r="AA124" s="10" t="e">
        <f t="shared" ca="1" si="26"/>
        <v>#VALUE!</v>
      </c>
      <c r="AB124" s="11" t="e">
        <f t="shared" si="40"/>
        <v>#VALUE!</v>
      </c>
      <c r="AC124" s="11" t="e">
        <f>SUM($S$31:S124)/$V$31</f>
        <v>#VALUE!</v>
      </c>
      <c r="AD124" s="11" t="e">
        <f>SUM($S$31:S124,$R$31:R124,$T$31:T124)/$V$31</f>
        <v>#VALUE!</v>
      </c>
      <c r="AE124" s="11" t="e">
        <f>SUM($M$31:M124)/$V$31</f>
        <v>#VALUE!</v>
      </c>
      <c r="AF124" s="11" t="e">
        <f ca="1">SUM(SUM($M$31:M124),-SUM($T$31:T124))/$V$31</f>
        <v>#VALUE!</v>
      </c>
      <c r="AG124">
        <f t="shared" si="27"/>
        <v>8742</v>
      </c>
    </row>
    <row r="125" spans="2:33" x14ac:dyDescent="0.15">
      <c r="B125" s="1">
        <f t="shared" si="41"/>
        <v>94</v>
      </c>
      <c r="C125" s="1">
        <f t="shared" si="28"/>
        <v>94</v>
      </c>
      <c r="D125" s="25">
        <v>3.3256025543397398E-2</v>
      </c>
      <c r="E125" s="2">
        <f t="shared" si="29"/>
        <v>84321.472091097123</v>
      </c>
      <c r="F125" s="3">
        <f t="shared" si="42"/>
        <v>0.04</v>
      </c>
      <c r="G125" s="2">
        <f t="shared" si="43"/>
        <v>477.4153</v>
      </c>
      <c r="H125" s="2">
        <f t="shared" si="44"/>
        <v>281.07157363699042</v>
      </c>
      <c r="I125" s="2">
        <f t="shared" si="45"/>
        <v>196.34372636300958</v>
      </c>
      <c r="J125" s="2">
        <f t="shared" si="30"/>
        <v>84125.128364734119</v>
      </c>
      <c r="K125" s="2" t="e">
        <f t="shared" si="49"/>
        <v>#VALUE!</v>
      </c>
      <c r="L125" s="9">
        <v>1.6821425527395739E-3</v>
      </c>
      <c r="M125" s="2" t="e">
        <f t="shared" si="31"/>
        <v>#VALUE!</v>
      </c>
      <c r="N125" s="3">
        <f t="shared" si="32"/>
        <v>0.04</v>
      </c>
      <c r="O125" s="2" t="e">
        <f t="shared" si="33"/>
        <v>#VALUE!</v>
      </c>
      <c r="P125" s="10">
        <f t="shared" si="25"/>
        <v>0.84125128364734114</v>
      </c>
      <c r="Q125" s="13"/>
      <c r="R125" s="2" t="e">
        <f t="shared" si="46"/>
        <v>#VALUE!</v>
      </c>
      <c r="S125" s="2" t="e">
        <f t="shared" si="47"/>
        <v>#VALUE!</v>
      </c>
      <c r="T125" s="2" t="e">
        <f t="shared" ca="1" si="34"/>
        <v>#VALUE!</v>
      </c>
      <c r="U125" s="2" t="e">
        <f t="shared" si="48"/>
        <v>#VALUE!</v>
      </c>
      <c r="V125" s="2" t="e">
        <f t="shared" si="35"/>
        <v>#VALUE!</v>
      </c>
      <c r="W125" s="2">
        <f t="shared" si="36"/>
        <v>477.4153</v>
      </c>
      <c r="X125" s="2" t="e">
        <f t="shared" ca="1" si="37"/>
        <v>#VALUE!</v>
      </c>
      <c r="Y125" s="2" t="e">
        <f t="shared" ca="1" si="38"/>
        <v>#VALUE!</v>
      </c>
      <c r="Z125" s="10">
        <f t="shared" si="39"/>
        <v>0.73138720400241641</v>
      </c>
      <c r="AA125" s="10" t="e">
        <f t="shared" ca="1" si="26"/>
        <v>#VALUE!</v>
      </c>
      <c r="AB125" s="11" t="e">
        <f t="shared" si="40"/>
        <v>#VALUE!</v>
      </c>
      <c r="AC125" s="11" t="e">
        <f>SUM($S$31:S125)/$V$31</f>
        <v>#VALUE!</v>
      </c>
      <c r="AD125" s="11" t="e">
        <f>SUM($S$31:S125,$R$31:R125,$T$31:T125)/$V$31</f>
        <v>#VALUE!</v>
      </c>
      <c r="AE125" s="11" t="e">
        <f>SUM($M$31:M125)/$V$31</f>
        <v>#VALUE!</v>
      </c>
      <c r="AF125" s="11" t="e">
        <f ca="1">SUM(SUM($M$31:M125),-SUM($T$31:T125))/$V$31</f>
        <v>#VALUE!</v>
      </c>
      <c r="AG125">
        <f t="shared" si="27"/>
        <v>8930</v>
      </c>
    </row>
    <row r="126" spans="2:33" x14ac:dyDescent="0.15">
      <c r="B126" s="1">
        <f t="shared" si="41"/>
        <v>95</v>
      </c>
      <c r="C126" s="1">
        <f t="shared" si="28"/>
        <v>95</v>
      </c>
      <c r="D126" s="25">
        <v>3.3385551312011499E-2</v>
      </c>
      <c r="E126" s="2">
        <f t="shared" si="29"/>
        <v>84125.128364734119</v>
      </c>
      <c r="F126" s="3">
        <f t="shared" si="42"/>
        <v>0.04</v>
      </c>
      <c r="G126" s="2">
        <f t="shared" si="43"/>
        <v>477.4153</v>
      </c>
      <c r="H126" s="2">
        <f t="shared" si="44"/>
        <v>280.41709454911376</v>
      </c>
      <c r="I126" s="2">
        <f t="shared" si="45"/>
        <v>196.99820545088625</v>
      </c>
      <c r="J126" s="2">
        <f t="shared" si="30"/>
        <v>83928.130159283231</v>
      </c>
      <c r="K126" s="2" t="e">
        <f t="shared" si="49"/>
        <v>#VALUE!</v>
      </c>
      <c r="L126" s="9">
        <v>1.6821425527395739E-3</v>
      </c>
      <c r="M126" s="2" t="e">
        <f t="shared" si="31"/>
        <v>#VALUE!</v>
      </c>
      <c r="N126" s="3">
        <f t="shared" si="32"/>
        <v>0.04</v>
      </c>
      <c r="O126" s="2" t="e">
        <f t="shared" si="33"/>
        <v>#VALUE!</v>
      </c>
      <c r="P126" s="10">
        <f t="shared" si="25"/>
        <v>0.83928130159283232</v>
      </c>
      <c r="Q126" s="13"/>
      <c r="R126" s="2" t="e">
        <f t="shared" si="46"/>
        <v>#VALUE!</v>
      </c>
      <c r="S126" s="2" t="e">
        <f t="shared" si="47"/>
        <v>#VALUE!</v>
      </c>
      <c r="T126" s="2" t="e">
        <f t="shared" ca="1" si="34"/>
        <v>#VALUE!</v>
      </c>
      <c r="U126" s="2" t="e">
        <f t="shared" si="48"/>
        <v>#VALUE!</v>
      </c>
      <c r="V126" s="2" t="e">
        <f t="shared" si="35"/>
        <v>#VALUE!</v>
      </c>
      <c r="W126" s="2">
        <f t="shared" si="36"/>
        <v>477.4153</v>
      </c>
      <c r="X126" s="2" t="e">
        <f t="shared" ca="1" si="37"/>
        <v>#VALUE!</v>
      </c>
      <c r="Y126" s="2" t="e">
        <f t="shared" ca="1" si="38"/>
        <v>#VALUE!</v>
      </c>
      <c r="Z126" s="10">
        <f t="shared" si="39"/>
        <v>0.72895734618243224</v>
      </c>
      <c r="AA126" s="10" t="e">
        <f t="shared" ca="1" si="26"/>
        <v>#VALUE!</v>
      </c>
      <c r="AB126" s="11" t="e">
        <f t="shared" si="40"/>
        <v>#VALUE!</v>
      </c>
      <c r="AC126" s="11" t="e">
        <f>SUM($S$31:S126)/$V$31</f>
        <v>#VALUE!</v>
      </c>
      <c r="AD126" s="11" t="e">
        <f>SUM($S$31:S126,$R$31:R126,$T$31:T126)/$V$31</f>
        <v>#VALUE!</v>
      </c>
      <c r="AE126" s="11" t="e">
        <f>SUM($M$31:M126)/$V$31</f>
        <v>#VALUE!</v>
      </c>
      <c r="AF126" s="11" t="e">
        <f ca="1">SUM(SUM($M$31:M126),-SUM($T$31:T126))/$V$31</f>
        <v>#VALUE!</v>
      </c>
      <c r="AG126">
        <f t="shared" si="27"/>
        <v>9120</v>
      </c>
    </row>
    <row r="127" spans="2:33" x14ac:dyDescent="0.15">
      <c r="B127" s="1">
        <f t="shared" si="41"/>
        <v>96</v>
      </c>
      <c r="C127" s="1">
        <f t="shared" si="28"/>
        <v>96</v>
      </c>
      <c r="D127" s="25">
        <v>3.3488240410587303E-2</v>
      </c>
      <c r="E127" s="2">
        <f t="shared" si="29"/>
        <v>83928.130159283231</v>
      </c>
      <c r="F127" s="3">
        <f t="shared" si="42"/>
        <v>0.04</v>
      </c>
      <c r="G127" s="2">
        <f t="shared" si="43"/>
        <v>477.4153</v>
      </c>
      <c r="H127" s="2">
        <f t="shared" si="44"/>
        <v>279.76043386427745</v>
      </c>
      <c r="I127" s="2">
        <f t="shared" si="45"/>
        <v>197.65486613572256</v>
      </c>
      <c r="J127" s="2">
        <f t="shared" si="30"/>
        <v>83730.475293147509</v>
      </c>
      <c r="K127" s="2" t="e">
        <f t="shared" si="49"/>
        <v>#VALUE!</v>
      </c>
      <c r="L127" s="9">
        <v>1.6821425527395739E-3</v>
      </c>
      <c r="M127" s="2" t="e">
        <f t="shared" si="31"/>
        <v>#VALUE!</v>
      </c>
      <c r="N127" s="3">
        <f t="shared" si="32"/>
        <v>0.04</v>
      </c>
      <c r="O127" s="2" t="e">
        <f t="shared" si="33"/>
        <v>#VALUE!</v>
      </c>
      <c r="P127" s="10">
        <f t="shared" si="25"/>
        <v>0.8373047529314751</v>
      </c>
      <c r="Q127" s="13"/>
      <c r="R127" s="2" t="e">
        <f t="shared" si="46"/>
        <v>#VALUE!</v>
      </c>
      <c r="S127" s="2" t="e">
        <f t="shared" si="47"/>
        <v>#VALUE!</v>
      </c>
      <c r="T127" s="2" t="e">
        <f t="shared" ca="1" si="34"/>
        <v>#VALUE!</v>
      </c>
      <c r="U127" s="2" t="e">
        <f t="shared" si="48"/>
        <v>#VALUE!</v>
      </c>
      <c r="V127" s="2" t="e">
        <f t="shared" si="35"/>
        <v>#VALUE!</v>
      </c>
      <c r="W127" s="2">
        <f t="shared" si="36"/>
        <v>477.4153</v>
      </c>
      <c r="X127" s="2" t="e">
        <f t="shared" ca="1" si="37"/>
        <v>#VALUE!</v>
      </c>
      <c r="Y127" s="2" t="e">
        <f t="shared" ca="1" si="38"/>
        <v>#VALUE!</v>
      </c>
      <c r="Z127" s="10">
        <f t="shared" si="39"/>
        <v>0.72653556097978789</v>
      </c>
      <c r="AA127" s="10" t="e">
        <f t="shared" ca="1" si="26"/>
        <v>#VALUE!</v>
      </c>
      <c r="AB127" s="11" t="e">
        <f t="shared" si="40"/>
        <v>#VALUE!</v>
      </c>
      <c r="AC127" s="11" t="e">
        <f>SUM($S$31:S127)/$V$31</f>
        <v>#VALUE!</v>
      </c>
      <c r="AD127" s="11" t="e">
        <f>SUM($S$31:S127,$R$31:R127,$T$31:T127)/$V$31</f>
        <v>#VALUE!</v>
      </c>
      <c r="AE127" s="11" t="e">
        <f>SUM($M$31:M127)/$V$31</f>
        <v>#VALUE!</v>
      </c>
      <c r="AF127" s="11" t="e">
        <f ca="1">SUM(SUM($M$31:M127),-SUM($T$31:T127))/$V$31</f>
        <v>#VALUE!</v>
      </c>
      <c r="AG127">
        <f t="shared" si="27"/>
        <v>9312</v>
      </c>
    </row>
    <row r="128" spans="2:33" x14ac:dyDescent="0.15">
      <c r="B128" s="1">
        <f t="shared" si="41"/>
        <v>97</v>
      </c>
      <c r="C128" s="1">
        <f t="shared" si="28"/>
        <v>97</v>
      </c>
      <c r="D128" s="25">
        <v>3.3562127962088704E-2</v>
      </c>
      <c r="E128" s="2">
        <f t="shared" si="29"/>
        <v>83730.475293147509</v>
      </c>
      <c r="F128" s="3">
        <f t="shared" si="42"/>
        <v>0.04</v>
      </c>
      <c r="G128" s="2">
        <f t="shared" si="43"/>
        <v>477.4153</v>
      </c>
      <c r="H128" s="2">
        <f t="shared" si="44"/>
        <v>279.10158431049172</v>
      </c>
      <c r="I128" s="2">
        <f t="shared" si="45"/>
        <v>198.31371568950829</v>
      </c>
      <c r="J128" s="2">
        <f t="shared" si="30"/>
        <v>83532.161577457999</v>
      </c>
      <c r="K128" s="2" t="e">
        <f t="shared" si="49"/>
        <v>#VALUE!</v>
      </c>
      <c r="L128" s="9">
        <v>1.6821425527395739E-3</v>
      </c>
      <c r="M128" s="2" t="e">
        <f t="shared" si="31"/>
        <v>#VALUE!</v>
      </c>
      <c r="N128" s="3">
        <f t="shared" si="32"/>
        <v>0.04</v>
      </c>
      <c r="O128" s="2" t="e">
        <f t="shared" si="33"/>
        <v>#VALUE!</v>
      </c>
      <c r="P128" s="10">
        <f t="shared" si="25"/>
        <v>0.83532161577457997</v>
      </c>
      <c r="Q128" s="13"/>
      <c r="R128" s="2" t="e">
        <f t="shared" si="46"/>
        <v>#VALUE!</v>
      </c>
      <c r="S128" s="2" t="e">
        <f t="shared" si="47"/>
        <v>#VALUE!</v>
      </c>
      <c r="T128" s="2" t="e">
        <f t="shared" ca="1" si="34"/>
        <v>#VALUE!</v>
      </c>
      <c r="U128" s="2" t="e">
        <f t="shared" si="48"/>
        <v>#VALUE!</v>
      </c>
      <c r="V128" s="2" t="e">
        <f t="shared" si="35"/>
        <v>#VALUE!</v>
      </c>
      <c r="W128" s="2">
        <f t="shared" si="36"/>
        <v>477.4153</v>
      </c>
      <c r="X128" s="2" t="e">
        <f t="shared" ca="1" si="37"/>
        <v>#VALUE!</v>
      </c>
      <c r="Y128" s="2" t="e">
        <f t="shared" ca="1" si="38"/>
        <v>#VALUE!</v>
      </c>
      <c r="Z128" s="10">
        <f t="shared" si="39"/>
        <v>0.72412182157515703</v>
      </c>
      <c r="AA128" s="10" t="e">
        <f t="shared" ca="1" si="26"/>
        <v>#VALUE!</v>
      </c>
      <c r="AB128" s="11" t="e">
        <f t="shared" si="40"/>
        <v>#VALUE!</v>
      </c>
      <c r="AC128" s="11" t="e">
        <f>SUM($S$31:S128)/$V$31</f>
        <v>#VALUE!</v>
      </c>
      <c r="AD128" s="11" t="e">
        <f>SUM($S$31:S128,$R$31:R128,$T$31:T128)/$V$31</f>
        <v>#VALUE!</v>
      </c>
      <c r="AE128" s="11" t="e">
        <f>SUM($M$31:M128)/$V$31</f>
        <v>#VALUE!</v>
      </c>
      <c r="AF128" s="11" t="e">
        <f ca="1">SUM(SUM($M$31:M128),-SUM($T$31:T128))/$V$31</f>
        <v>#VALUE!</v>
      </c>
      <c r="AG128">
        <f t="shared" si="27"/>
        <v>9506</v>
      </c>
    </row>
    <row r="129" spans="2:33" x14ac:dyDescent="0.15">
      <c r="B129" s="1">
        <f t="shared" si="41"/>
        <v>98</v>
      </c>
      <c r="C129" s="1">
        <f t="shared" si="28"/>
        <v>98</v>
      </c>
      <c r="D129" s="25">
        <v>3.3643114034532899E-2</v>
      </c>
      <c r="E129" s="2">
        <f t="shared" si="29"/>
        <v>83532.161577457999</v>
      </c>
      <c r="F129" s="3">
        <f t="shared" si="42"/>
        <v>0.04</v>
      </c>
      <c r="G129" s="2">
        <f t="shared" si="43"/>
        <v>477.4153</v>
      </c>
      <c r="H129" s="2">
        <f t="shared" si="44"/>
        <v>278.44053859152666</v>
      </c>
      <c r="I129" s="2">
        <f t="shared" si="45"/>
        <v>198.97476140847334</v>
      </c>
      <c r="J129" s="2">
        <f t="shared" si="30"/>
        <v>83333.186816049521</v>
      </c>
      <c r="K129" s="2" t="e">
        <f t="shared" si="49"/>
        <v>#VALUE!</v>
      </c>
      <c r="L129" s="9">
        <v>1.6821425527395739E-3</v>
      </c>
      <c r="M129" s="2" t="e">
        <f t="shared" si="31"/>
        <v>#VALUE!</v>
      </c>
      <c r="N129" s="3">
        <f t="shared" si="32"/>
        <v>0.04</v>
      </c>
      <c r="O129" s="2" t="e">
        <f t="shared" si="33"/>
        <v>#VALUE!</v>
      </c>
      <c r="P129" s="10">
        <f t="shared" si="25"/>
        <v>0.8333318681604952</v>
      </c>
      <c r="Q129" s="13"/>
      <c r="R129" s="2" t="e">
        <f t="shared" si="46"/>
        <v>#VALUE!</v>
      </c>
      <c r="S129" s="2" t="e">
        <f t="shared" si="47"/>
        <v>#VALUE!</v>
      </c>
      <c r="T129" s="2" t="e">
        <f t="shared" ca="1" si="34"/>
        <v>#VALUE!</v>
      </c>
      <c r="U129" s="2" t="e">
        <f t="shared" si="48"/>
        <v>#VALUE!</v>
      </c>
      <c r="V129" s="2" t="e">
        <f t="shared" si="35"/>
        <v>#VALUE!</v>
      </c>
      <c r="W129" s="2">
        <f t="shared" si="36"/>
        <v>477.4153</v>
      </c>
      <c r="X129" s="2" t="e">
        <f t="shared" ca="1" si="37"/>
        <v>#VALUE!</v>
      </c>
      <c r="Y129" s="2" t="e">
        <f t="shared" ca="1" si="38"/>
        <v>#VALUE!</v>
      </c>
      <c r="Z129" s="10">
        <f t="shared" si="39"/>
        <v>0.72171610123831342</v>
      </c>
      <c r="AA129" s="10" t="e">
        <f t="shared" ca="1" si="26"/>
        <v>#VALUE!</v>
      </c>
      <c r="AB129" s="11" t="e">
        <f t="shared" si="40"/>
        <v>#VALUE!</v>
      </c>
      <c r="AC129" s="11" t="e">
        <f>SUM($S$31:S129)/$V$31</f>
        <v>#VALUE!</v>
      </c>
      <c r="AD129" s="11" t="e">
        <f>SUM($S$31:S129,$R$31:R129,$T$31:T129)/$V$31</f>
        <v>#VALUE!</v>
      </c>
      <c r="AE129" s="11" t="e">
        <f>SUM($M$31:M129)/$V$31</f>
        <v>#VALUE!</v>
      </c>
      <c r="AF129" s="11" t="e">
        <f ca="1">SUM(SUM($M$31:M129),-SUM($T$31:T129))/$V$31</f>
        <v>#VALUE!</v>
      </c>
      <c r="AG129">
        <f t="shared" si="27"/>
        <v>9702</v>
      </c>
    </row>
    <row r="130" spans="2:33" x14ac:dyDescent="0.15">
      <c r="B130" s="1">
        <f t="shared" si="41"/>
        <v>99</v>
      </c>
      <c r="C130" s="1">
        <f t="shared" si="28"/>
        <v>99</v>
      </c>
      <c r="D130" s="25">
        <v>3.3732005942309302E-2</v>
      </c>
      <c r="E130" s="2">
        <f t="shared" si="29"/>
        <v>83333.186816049521</v>
      </c>
      <c r="F130" s="3">
        <f t="shared" si="42"/>
        <v>0.04</v>
      </c>
      <c r="G130" s="2">
        <f t="shared" si="43"/>
        <v>477.4153</v>
      </c>
      <c r="H130" s="2">
        <f t="shared" si="44"/>
        <v>277.77728938683174</v>
      </c>
      <c r="I130" s="2">
        <f t="shared" si="45"/>
        <v>199.63801061316826</v>
      </c>
      <c r="J130" s="2">
        <f t="shared" si="30"/>
        <v>83133.548805436352</v>
      </c>
      <c r="K130" s="2" t="e">
        <f t="shared" si="49"/>
        <v>#VALUE!</v>
      </c>
      <c r="L130" s="9">
        <v>1.6821425527395739E-3</v>
      </c>
      <c r="M130" s="2" t="e">
        <f t="shared" si="31"/>
        <v>#VALUE!</v>
      </c>
      <c r="N130" s="3">
        <f t="shared" si="32"/>
        <v>0.04</v>
      </c>
      <c r="O130" s="2" t="e">
        <f t="shared" si="33"/>
        <v>#VALUE!</v>
      </c>
      <c r="P130" s="10">
        <f t="shared" si="25"/>
        <v>0.83133548805436353</v>
      </c>
      <c r="Q130" s="13"/>
      <c r="R130" s="2" t="e">
        <f t="shared" si="46"/>
        <v>#VALUE!</v>
      </c>
      <c r="S130" s="2" t="e">
        <f t="shared" si="47"/>
        <v>#VALUE!</v>
      </c>
      <c r="T130" s="2" t="e">
        <f t="shared" ca="1" si="34"/>
        <v>#VALUE!</v>
      </c>
      <c r="U130" s="2" t="e">
        <f t="shared" si="48"/>
        <v>#VALUE!</v>
      </c>
      <c r="V130" s="2" t="e">
        <f t="shared" si="35"/>
        <v>#VALUE!</v>
      </c>
      <c r="W130" s="2">
        <f t="shared" si="36"/>
        <v>477.4153</v>
      </c>
      <c r="X130" s="2" t="e">
        <f t="shared" ca="1" si="37"/>
        <v>#VALUE!</v>
      </c>
      <c r="Y130" s="2" t="e">
        <f t="shared" ca="1" si="38"/>
        <v>#VALUE!</v>
      </c>
      <c r="Z130" s="10">
        <f t="shared" si="39"/>
        <v>0.71931837332783621</v>
      </c>
      <c r="AA130" s="10" t="e">
        <f t="shared" ca="1" si="26"/>
        <v>#VALUE!</v>
      </c>
      <c r="AB130" s="11" t="e">
        <f t="shared" si="40"/>
        <v>#VALUE!</v>
      </c>
      <c r="AC130" s="11" t="e">
        <f>SUM($S$31:S130)/$V$31</f>
        <v>#VALUE!</v>
      </c>
      <c r="AD130" s="11" t="e">
        <f>SUM($S$31:S130,$R$31:R130,$T$31:T130)/$V$31</f>
        <v>#VALUE!</v>
      </c>
      <c r="AE130" s="11" t="e">
        <f>SUM($M$31:M130)/$V$31</f>
        <v>#VALUE!</v>
      </c>
      <c r="AF130" s="11" t="e">
        <f ca="1">SUM(SUM($M$31:M130),-SUM($T$31:T130))/$V$31</f>
        <v>#VALUE!</v>
      </c>
      <c r="AG130">
        <f t="shared" si="27"/>
        <v>9900</v>
      </c>
    </row>
    <row r="131" spans="2:33" x14ac:dyDescent="0.15">
      <c r="B131" s="1">
        <f t="shared" si="41"/>
        <v>100</v>
      </c>
      <c r="C131" s="1">
        <f t="shared" si="28"/>
        <v>100</v>
      </c>
      <c r="D131" s="25">
        <v>3.38362835267835E-2</v>
      </c>
      <c r="E131" s="2">
        <f t="shared" si="29"/>
        <v>83133.548805436352</v>
      </c>
      <c r="F131" s="3">
        <f t="shared" si="42"/>
        <v>0.04</v>
      </c>
      <c r="G131" s="2">
        <f t="shared" si="43"/>
        <v>477.4153</v>
      </c>
      <c r="H131" s="2">
        <f t="shared" si="44"/>
        <v>277.1118293514545</v>
      </c>
      <c r="I131" s="2">
        <f t="shared" si="45"/>
        <v>200.3034706485455</v>
      </c>
      <c r="J131" s="2">
        <f t="shared" si="30"/>
        <v>82933.245334787804</v>
      </c>
      <c r="K131" s="2" t="e">
        <f t="shared" si="49"/>
        <v>#VALUE!</v>
      </c>
      <c r="L131" s="9">
        <v>1.6821425527395739E-3</v>
      </c>
      <c r="M131" s="2" t="e">
        <f t="shared" si="31"/>
        <v>#VALUE!</v>
      </c>
      <c r="N131" s="3">
        <f t="shared" si="32"/>
        <v>0.04</v>
      </c>
      <c r="O131" s="2" t="e">
        <f t="shared" si="33"/>
        <v>#VALUE!</v>
      </c>
      <c r="P131" s="10">
        <f t="shared" si="25"/>
        <v>0.82933245334787808</v>
      </c>
      <c r="Q131" s="13"/>
      <c r="R131" s="2" t="e">
        <f t="shared" si="46"/>
        <v>#VALUE!</v>
      </c>
      <c r="S131" s="2" t="e">
        <f t="shared" si="47"/>
        <v>#VALUE!</v>
      </c>
      <c r="T131" s="2" t="e">
        <f t="shared" ca="1" si="34"/>
        <v>#VALUE!</v>
      </c>
      <c r="U131" s="2" t="e">
        <f t="shared" si="48"/>
        <v>#VALUE!</v>
      </c>
      <c r="V131" s="2" t="e">
        <f t="shared" si="35"/>
        <v>#VALUE!</v>
      </c>
      <c r="W131" s="2">
        <f t="shared" si="36"/>
        <v>477.4153</v>
      </c>
      <c r="X131" s="2" t="e">
        <f t="shared" ca="1" si="37"/>
        <v>#VALUE!</v>
      </c>
      <c r="Y131" s="2" t="e">
        <f t="shared" ca="1" si="38"/>
        <v>#VALUE!</v>
      </c>
      <c r="Z131" s="10">
        <f t="shared" si="39"/>
        <v>0.71692861129081376</v>
      </c>
      <c r="AA131" s="10" t="e">
        <f t="shared" ca="1" si="26"/>
        <v>#VALUE!</v>
      </c>
      <c r="AB131" s="11" t="e">
        <f t="shared" si="40"/>
        <v>#VALUE!</v>
      </c>
      <c r="AC131" s="11" t="e">
        <f>SUM($S$31:S131)/$V$31</f>
        <v>#VALUE!</v>
      </c>
      <c r="AD131" s="11" t="e">
        <f>SUM($S$31:S131,$R$31:R131,$T$31:T131)/$V$31</f>
        <v>#VALUE!</v>
      </c>
      <c r="AE131" s="11" t="e">
        <f>SUM($M$31:M131)/$V$31</f>
        <v>#VALUE!</v>
      </c>
      <c r="AF131" s="11" t="e">
        <f ca="1">SUM(SUM($M$31:M131),-SUM($T$31:T131))/$V$31</f>
        <v>#VALUE!</v>
      </c>
      <c r="AG131">
        <f t="shared" si="27"/>
        <v>10100</v>
      </c>
    </row>
    <row r="132" spans="2:33" x14ac:dyDescent="0.15">
      <c r="B132" s="1">
        <f t="shared" si="41"/>
        <v>101</v>
      </c>
      <c r="C132" s="1">
        <f t="shared" si="28"/>
        <v>101</v>
      </c>
      <c r="D132" s="25">
        <v>3.3949318504415904E-2</v>
      </c>
      <c r="E132" s="2">
        <f t="shared" si="29"/>
        <v>82933.245334787804</v>
      </c>
      <c r="F132" s="3">
        <f t="shared" si="42"/>
        <v>0.04</v>
      </c>
      <c r="G132" s="2">
        <f t="shared" si="43"/>
        <v>477.4153</v>
      </c>
      <c r="H132" s="2">
        <f t="shared" si="44"/>
        <v>276.44415111595936</v>
      </c>
      <c r="I132" s="2">
        <f t="shared" si="45"/>
        <v>200.97114888404064</v>
      </c>
      <c r="J132" s="2">
        <f t="shared" si="30"/>
        <v>82732.274185903763</v>
      </c>
      <c r="K132" s="2" t="e">
        <f t="shared" si="49"/>
        <v>#VALUE!</v>
      </c>
      <c r="L132" s="9">
        <v>1.6821425527395739E-3</v>
      </c>
      <c r="M132" s="2" t="e">
        <f t="shared" si="31"/>
        <v>#VALUE!</v>
      </c>
      <c r="N132" s="3">
        <f t="shared" si="32"/>
        <v>0.04</v>
      </c>
      <c r="O132" s="2" t="e">
        <f t="shared" si="33"/>
        <v>#VALUE!</v>
      </c>
      <c r="P132" s="10">
        <f t="shared" si="25"/>
        <v>0.82732274185903765</v>
      </c>
      <c r="Q132" s="13"/>
      <c r="R132" s="2" t="e">
        <f t="shared" si="46"/>
        <v>#VALUE!</v>
      </c>
      <c r="S132" s="2" t="e">
        <f t="shared" si="47"/>
        <v>#VALUE!</v>
      </c>
      <c r="T132" s="2" t="e">
        <f t="shared" ca="1" si="34"/>
        <v>#VALUE!</v>
      </c>
      <c r="U132" s="2" t="e">
        <f t="shared" si="48"/>
        <v>#VALUE!</v>
      </c>
      <c r="V132" s="2" t="e">
        <f t="shared" si="35"/>
        <v>#VALUE!</v>
      </c>
      <c r="W132" s="2">
        <f t="shared" si="36"/>
        <v>477.4153</v>
      </c>
      <c r="X132" s="2" t="e">
        <f t="shared" ca="1" si="37"/>
        <v>#VALUE!</v>
      </c>
      <c r="Y132" s="2" t="e">
        <f t="shared" ca="1" si="38"/>
        <v>#VALUE!</v>
      </c>
      <c r="Z132" s="10">
        <f t="shared" si="39"/>
        <v>0.71454678866254995</v>
      </c>
      <c r="AA132" s="10" t="e">
        <f t="shared" ca="1" si="26"/>
        <v>#VALUE!</v>
      </c>
      <c r="AB132" s="11" t="e">
        <f t="shared" si="40"/>
        <v>#VALUE!</v>
      </c>
      <c r="AC132" s="11" t="e">
        <f>SUM($S$31:S132)/$V$31</f>
        <v>#VALUE!</v>
      </c>
      <c r="AD132" s="11" t="e">
        <f>SUM($S$31:S132,$R$31:R132,$T$31:T132)/$V$31</f>
        <v>#VALUE!</v>
      </c>
      <c r="AE132" s="11" t="e">
        <f>SUM($M$31:M132)/$V$31</f>
        <v>#VALUE!</v>
      </c>
      <c r="AF132" s="11" t="e">
        <f ca="1">SUM(SUM($M$31:M132),-SUM($T$31:T132))/$V$31</f>
        <v>#VALUE!</v>
      </c>
      <c r="AG132">
        <f t="shared" si="27"/>
        <v>10302</v>
      </c>
    </row>
    <row r="133" spans="2:33" x14ac:dyDescent="0.15">
      <c r="B133" s="1">
        <f t="shared" si="41"/>
        <v>102</v>
      </c>
      <c r="C133" s="1">
        <f t="shared" si="28"/>
        <v>102</v>
      </c>
      <c r="D133" s="25">
        <v>3.4077781383559401E-2</v>
      </c>
      <c r="E133" s="2">
        <f t="shared" si="29"/>
        <v>82732.274185903763</v>
      </c>
      <c r="F133" s="3">
        <f t="shared" si="42"/>
        <v>0.04</v>
      </c>
      <c r="G133" s="2">
        <f t="shared" si="43"/>
        <v>477.4153</v>
      </c>
      <c r="H133" s="2">
        <f t="shared" si="44"/>
        <v>275.77424728634588</v>
      </c>
      <c r="I133" s="2">
        <f t="shared" si="45"/>
        <v>201.64105271365412</v>
      </c>
      <c r="J133" s="2">
        <f t="shared" si="30"/>
        <v>82530.633133190102</v>
      </c>
      <c r="K133" s="2" t="e">
        <f t="shared" si="49"/>
        <v>#VALUE!</v>
      </c>
      <c r="L133" s="9">
        <v>1.6821425527395739E-3</v>
      </c>
      <c r="M133" s="2" t="e">
        <f t="shared" si="31"/>
        <v>#VALUE!</v>
      </c>
      <c r="N133" s="3">
        <f t="shared" si="32"/>
        <v>0.04</v>
      </c>
      <c r="O133" s="2" t="e">
        <f t="shared" si="33"/>
        <v>#VALUE!</v>
      </c>
      <c r="P133" s="10">
        <f t="shared" si="25"/>
        <v>0.82530633133190101</v>
      </c>
      <c r="Q133" s="13"/>
      <c r="R133" s="2" t="e">
        <f t="shared" si="46"/>
        <v>#VALUE!</v>
      </c>
      <c r="S133" s="2" t="e">
        <f t="shared" si="47"/>
        <v>#VALUE!</v>
      </c>
      <c r="T133" s="2" t="e">
        <f t="shared" ca="1" si="34"/>
        <v>#VALUE!</v>
      </c>
      <c r="U133" s="2" t="e">
        <f t="shared" si="48"/>
        <v>#VALUE!</v>
      </c>
      <c r="V133" s="2" t="e">
        <f t="shared" si="35"/>
        <v>#VALUE!</v>
      </c>
      <c r="W133" s="2">
        <f t="shared" si="36"/>
        <v>477.4153</v>
      </c>
      <c r="X133" s="2" t="e">
        <f t="shared" ca="1" si="37"/>
        <v>#VALUE!</v>
      </c>
      <c r="Y133" s="2" t="e">
        <f t="shared" ca="1" si="38"/>
        <v>#VALUE!</v>
      </c>
      <c r="Z133" s="10">
        <f t="shared" si="39"/>
        <v>0.71217287906627169</v>
      </c>
      <c r="AA133" s="10" t="e">
        <f t="shared" ca="1" si="26"/>
        <v>#VALUE!</v>
      </c>
      <c r="AB133" s="11" t="e">
        <f t="shared" si="40"/>
        <v>#VALUE!</v>
      </c>
      <c r="AC133" s="11" t="e">
        <f>SUM($S$31:S133)/$V$31</f>
        <v>#VALUE!</v>
      </c>
      <c r="AD133" s="11" t="e">
        <f>SUM($S$31:S133,$R$31:R133,$T$31:T133)/$V$31</f>
        <v>#VALUE!</v>
      </c>
      <c r="AE133" s="11" t="e">
        <f>SUM($M$31:M133)/$V$31</f>
        <v>#VALUE!</v>
      </c>
      <c r="AF133" s="11" t="e">
        <f ca="1">SUM(SUM($M$31:M133),-SUM($T$31:T133))/$V$31</f>
        <v>#VALUE!</v>
      </c>
      <c r="AG133">
        <f t="shared" si="27"/>
        <v>10506</v>
      </c>
    </row>
    <row r="134" spans="2:33" x14ac:dyDescent="0.15">
      <c r="B134" s="1">
        <f t="shared" si="41"/>
        <v>103</v>
      </c>
      <c r="C134" s="1">
        <f t="shared" si="28"/>
        <v>103</v>
      </c>
      <c r="D134" s="25">
        <v>3.4219031647042597E-2</v>
      </c>
      <c r="E134" s="2">
        <f t="shared" si="29"/>
        <v>82530.633133190102</v>
      </c>
      <c r="F134" s="3">
        <f t="shared" si="42"/>
        <v>0.04</v>
      </c>
      <c r="G134" s="2">
        <f t="shared" si="43"/>
        <v>477.4153</v>
      </c>
      <c r="H134" s="2">
        <f t="shared" si="44"/>
        <v>275.10211044396704</v>
      </c>
      <c r="I134" s="2">
        <f t="shared" si="45"/>
        <v>202.31318955603297</v>
      </c>
      <c r="J134" s="2">
        <f t="shared" si="30"/>
        <v>82328.319943634066</v>
      </c>
      <c r="K134" s="2" t="e">
        <f t="shared" si="49"/>
        <v>#VALUE!</v>
      </c>
      <c r="L134" s="9">
        <v>1.6821425527395739E-3</v>
      </c>
      <c r="M134" s="2" t="e">
        <f t="shared" si="31"/>
        <v>#VALUE!</v>
      </c>
      <c r="N134" s="3">
        <f t="shared" si="32"/>
        <v>0.04</v>
      </c>
      <c r="O134" s="2" t="e">
        <f t="shared" si="33"/>
        <v>#VALUE!</v>
      </c>
      <c r="P134" s="10">
        <f t="shared" si="25"/>
        <v>0.82328319943634065</v>
      </c>
      <c r="Q134" s="13"/>
      <c r="R134" s="2" t="e">
        <f t="shared" si="46"/>
        <v>#VALUE!</v>
      </c>
      <c r="S134" s="2" t="e">
        <f t="shared" si="47"/>
        <v>#VALUE!</v>
      </c>
      <c r="T134" s="2" t="e">
        <f t="shared" ca="1" si="34"/>
        <v>#VALUE!</v>
      </c>
      <c r="U134" s="2" t="e">
        <f t="shared" si="48"/>
        <v>#VALUE!</v>
      </c>
      <c r="V134" s="2" t="e">
        <f t="shared" si="35"/>
        <v>#VALUE!</v>
      </c>
      <c r="W134" s="2">
        <f t="shared" si="36"/>
        <v>477.4153</v>
      </c>
      <c r="X134" s="2" t="e">
        <f t="shared" ca="1" si="37"/>
        <v>#VALUE!</v>
      </c>
      <c r="Y134" s="2" t="e">
        <f t="shared" ca="1" si="38"/>
        <v>#VALUE!</v>
      </c>
      <c r="Z134" s="10">
        <f t="shared" si="39"/>
        <v>0.70980685621283623</v>
      </c>
      <c r="AA134" s="10" t="e">
        <f t="shared" ca="1" si="26"/>
        <v>#VALUE!</v>
      </c>
      <c r="AB134" s="11" t="e">
        <f t="shared" si="40"/>
        <v>#VALUE!</v>
      </c>
      <c r="AC134" s="11" t="e">
        <f>SUM($S$31:S134)/$V$31</f>
        <v>#VALUE!</v>
      </c>
      <c r="AD134" s="11" t="e">
        <f>SUM($S$31:S134,$R$31:R134,$T$31:T134)/$V$31</f>
        <v>#VALUE!</v>
      </c>
      <c r="AE134" s="11" t="e">
        <f>SUM($M$31:M134)/$V$31</f>
        <v>#VALUE!</v>
      </c>
      <c r="AF134" s="11" t="e">
        <f ca="1">SUM(SUM($M$31:M134),-SUM($T$31:T134))/$V$31</f>
        <v>#VALUE!</v>
      </c>
      <c r="AG134">
        <f t="shared" si="27"/>
        <v>10712</v>
      </c>
    </row>
    <row r="135" spans="2:33" x14ac:dyDescent="0.15">
      <c r="B135" s="1">
        <f t="shared" si="41"/>
        <v>104</v>
      </c>
      <c r="C135" s="1">
        <f t="shared" si="28"/>
        <v>104</v>
      </c>
      <c r="D135" s="25">
        <v>3.4368472945030898E-2</v>
      </c>
      <c r="E135" s="2">
        <f t="shared" si="29"/>
        <v>82328.319943634066</v>
      </c>
      <c r="F135" s="3">
        <f t="shared" si="42"/>
        <v>0.04</v>
      </c>
      <c r="G135" s="2">
        <f t="shared" si="43"/>
        <v>477.4153</v>
      </c>
      <c r="H135" s="2">
        <f t="shared" si="44"/>
        <v>274.42773314544689</v>
      </c>
      <c r="I135" s="2">
        <f t="shared" si="45"/>
        <v>202.98756685455311</v>
      </c>
      <c r="J135" s="2">
        <f t="shared" si="30"/>
        <v>82125.332376779508</v>
      </c>
      <c r="K135" s="2" t="e">
        <f t="shared" si="49"/>
        <v>#VALUE!</v>
      </c>
      <c r="L135" s="9">
        <v>1.6821425527395739E-3</v>
      </c>
      <c r="M135" s="2" t="e">
        <f t="shared" si="31"/>
        <v>#VALUE!</v>
      </c>
      <c r="N135" s="3">
        <f t="shared" si="32"/>
        <v>0.04</v>
      </c>
      <c r="O135" s="2" t="e">
        <f t="shared" si="33"/>
        <v>#VALUE!</v>
      </c>
      <c r="P135" s="10">
        <f t="shared" si="25"/>
        <v>0.82125332376779503</v>
      </c>
      <c r="Q135" s="13"/>
      <c r="R135" s="2" t="e">
        <f t="shared" si="46"/>
        <v>#VALUE!</v>
      </c>
      <c r="S135" s="2" t="e">
        <f t="shared" si="47"/>
        <v>#VALUE!</v>
      </c>
      <c r="T135" s="2" t="e">
        <f t="shared" ca="1" si="34"/>
        <v>#VALUE!</v>
      </c>
      <c r="U135" s="2" t="e">
        <f t="shared" si="48"/>
        <v>#VALUE!</v>
      </c>
      <c r="V135" s="2" t="e">
        <f t="shared" si="35"/>
        <v>#VALUE!</v>
      </c>
      <c r="W135" s="2">
        <f t="shared" si="36"/>
        <v>477.4153</v>
      </c>
      <c r="X135" s="2" t="e">
        <f t="shared" ca="1" si="37"/>
        <v>#VALUE!</v>
      </c>
      <c r="Y135" s="2" t="e">
        <f t="shared" ca="1" si="38"/>
        <v>#VALUE!</v>
      </c>
      <c r="Z135" s="10">
        <f t="shared" si="39"/>
        <v>0.70744869390044018</v>
      </c>
      <c r="AA135" s="10" t="e">
        <f t="shared" ca="1" si="26"/>
        <v>#VALUE!</v>
      </c>
      <c r="AB135" s="11" t="e">
        <f t="shared" si="40"/>
        <v>#VALUE!</v>
      </c>
      <c r="AC135" s="11" t="e">
        <f>SUM($S$31:S135)/$V$31</f>
        <v>#VALUE!</v>
      </c>
      <c r="AD135" s="11" t="e">
        <f>SUM($S$31:S135,$R$31:R135,$T$31:T135)/$V$31</f>
        <v>#VALUE!</v>
      </c>
      <c r="AE135" s="11" t="e">
        <f>SUM($M$31:M135)/$V$31</f>
        <v>#VALUE!</v>
      </c>
      <c r="AF135" s="11" t="e">
        <f ca="1">SUM(SUM($M$31:M135),-SUM($T$31:T135))/$V$31</f>
        <v>#VALUE!</v>
      </c>
      <c r="AG135">
        <f t="shared" si="27"/>
        <v>10920</v>
      </c>
    </row>
    <row r="136" spans="2:33" x14ac:dyDescent="0.15">
      <c r="B136" s="1">
        <f t="shared" si="41"/>
        <v>105</v>
      </c>
      <c r="C136" s="1">
        <f t="shared" si="28"/>
        <v>105</v>
      </c>
      <c r="D136" s="25">
        <v>3.45334241262861E-2</v>
      </c>
      <c r="E136" s="2">
        <f t="shared" si="29"/>
        <v>82125.332376779508</v>
      </c>
      <c r="F136" s="3">
        <f t="shared" si="42"/>
        <v>0.04</v>
      </c>
      <c r="G136" s="2">
        <f t="shared" si="43"/>
        <v>477.4153</v>
      </c>
      <c r="H136" s="2">
        <f t="shared" si="44"/>
        <v>273.75110792259835</v>
      </c>
      <c r="I136" s="2">
        <f t="shared" si="45"/>
        <v>203.66419207740165</v>
      </c>
      <c r="J136" s="2">
        <f t="shared" si="30"/>
        <v>81921.66818470211</v>
      </c>
      <c r="K136" s="2" t="e">
        <f t="shared" si="49"/>
        <v>#VALUE!</v>
      </c>
      <c r="L136" s="9">
        <v>1.6821425527395739E-3</v>
      </c>
      <c r="M136" s="2" t="e">
        <f t="shared" si="31"/>
        <v>#VALUE!</v>
      </c>
      <c r="N136" s="3">
        <f t="shared" si="32"/>
        <v>0.04</v>
      </c>
      <c r="O136" s="2" t="e">
        <f t="shared" si="33"/>
        <v>#VALUE!</v>
      </c>
      <c r="P136" s="10">
        <f t="shared" si="25"/>
        <v>0.81921668184702112</v>
      </c>
      <c r="Q136" s="13"/>
      <c r="R136" s="2" t="e">
        <f t="shared" si="46"/>
        <v>#VALUE!</v>
      </c>
      <c r="S136" s="2" t="e">
        <f t="shared" si="47"/>
        <v>#VALUE!</v>
      </c>
      <c r="T136" s="2" t="e">
        <f t="shared" ca="1" si="34"/>
        <v>#VALUE!</v>
      </c>
      <c r="U136" s="2" t="e">
        <f t="shared" si="48"/>
        <v>#VALUE!</v>
      </c>
      <c r="V136" s="2" t="e">
        <f t="shared" si="35"/>
        <v>#VALUE!</v>
      </c>
      <c r="W136" s="2">
        <f t="shared" si="36"/>
        <v>477.4153</v>
      </c>
      <c r="X136" s="2" t="e">
        <f t="shared" ca="1" si="37"/>
        <v>#VALUE!</v>
      </c>
      <c r="Y136" s="2" t="e">
        <f t="shared" ca="1" si="38"/>
        <v>#VALUE!</v>
      </c>
      <c r="Z136" s="10">
        <f t="shared" si="39"/>
        <v>0.70509836601432918</v>
      </c>
      <c r="AA136" s="10" t="e">
        <f t="shared" ca="1" si="26"/>
        <v>#VALUE!</v>
      </c>
      <c r="AB136" s="11" t="e">
        <f t="shared" si="40"/>
        <v>#VALUE!</v>
      </c>
      <c r="AC136" s="11" t="e">
        <f>SUM($S$31:S136)/$V$31</f>
        <v>#VALUE!</v>
      </c>
      <c r="AD136" s="11" t="e">
        <f>SUM($S$31:S136,$R$31:R136,$T$31:T136)/$V$31</f>
        <v>#VALUE!</v>
      </c>
      <c r="AE136" s="11" t="e">
        <f>SUM($M$31:M136)/$V$31</f>
        <v>#VALUE!</v>
      </c>
      <c r="AF136" s="11" t="e">
        <f ca="1">SUM(SUM($M$31:M136),-SUM($T$31:T136))/$V$31</f>
        <v>#VALUE!</v>
      </c>
      <c r="AG136">
        <f t="shared" si="27"/>
        <v>11130</v>
      </c>
    </row>
    <row r="137" spans="2:33" x14ac:dyDescent="0.15">
      <c r="B137" s="1">
        <f t="shared" si="41"/>
        <v>106</v>
      </c>
      <c r="C137" s="1">
        <f t="shared" si="28"/>
        <v>106</v>
      </c>
      <c r="D137" s="25">
        <v>3.4707000576425305E-2</v>
      </c>
      <c r="E137" s="2">
        <f t="shared" si="29"/>
        <v>81921.66818470211</v>
      </c>
      <c r="F137" s="3">
        <f t="shared" si="42"/>
        <v>0.04</v>
      </c>
      <c r="G137" s="2">
        <f t="shared" si="43"/>
        <v>477.4153</v>
      </c>
      <c r="H137" s="2">
        <f t="shared" si="44"/>
        <v>273.07222728234041</v>
      </c>
      <c r="I137" s="2">
        <f t="shared" si="45"/>
        <v>204.3430727176596</v>
      </c>
      <c r="J137" s="2">
        <f t="shared" si="30"/>
        <v>81717.32511198445</v>
      </c>
      <c r="K137" s="2" t="e">
        <f t="shared" si="49"/>
        <v>#VALUE!</v>
      </c>
      <c r="L137" s="9">
        <v>1.6821425527395739E-3</v>
      </c>
      <c r="M137" s="2" t="e">
        <f t="shared" si="31"/>
        <v>#VALUE!</v>
      </c>
      <c r="N137" s="3">
        <f t="shared" si="32"/>
        <v>0.04</v>
      </c>
      <c r="O137" s="2" t="e">
        <f t="shared" si="33"/>
        <v>#VALUE!</v>
      </c>
      <c r="P137" s="10">
        <f t="shared" si="25"/>
        <v>0.81717325111984451</v>
      </c>
      <c r="Q137" s="13"/>
      <c r="R137" s="2" t="e">
        <f t="shared" si="46"/>
        <v>#VALUE!</v>
      </c>
      <c r="S137" s="2" t="e">
        <f t="shared" si="47"/>
        <v>#VALUE!</v>
      </c>
      <c r="T137" s="2" t="e">
        <f t="shared" ca="1" si="34"/>
        <v>#VALUE!</v>
      </c>
      <c r="U137" s="2" t="e">
        <f t="shared" si="48"/>
        <v>#VALUE!</v>
      </c>
      <c r="V137" s="2" t="e">
        <f t="shared" si="35"/>
        <v>#VALUE!</v>
      </c>
      <c r="W137" s="2">
        <f t="shared" si="36"/>
        <v>477.4153</v>
      </c>
      <c r="X137" s="2" t="e">
        <f t="shared" ca="1" si="37"/>
        <v>#VALUE!</v>
      </c>
      <c r="Y137" s="2" t="e">
        <f t="shared" ca="1" si="38"/>
        <v>#VALUE!</v>
      </c>
      <c r="Z137" s="10">
        <f t="shared" si="39"/>
        <v>0.70275584652650869</v>
      </c>
      <c r="AA137" s="10" t="e">
        <f t="shared" ca="1" si="26"/>
        <v>#VALUE!</v>
      </c>
      <c r="AB137" s="11" t="e">
        <f t="shared" si="40"/>
        <v>#VALUE!</v>
      </c>
      <c r="AC137" s="11" t="e">
        <f>SUM($S$31:S137)/$V$31</f>
        <v>#VALUE!</v>
      </c>
      <c r="AD137" s="11" t="e">
        <f>SUM($S$31:S137,$R$31:R137,$T$31:T137)/$V$31</f>
        <v>#VALUE!</v>
      </c>
      <c r="AE137" s="11" t="e">
        <f>SUM($M$31:M137)/$V$31</f>
        <v>#VALUE!</v>
      </c>
      <c r="AF137" s="11" t="e">
        <f ca="1">SUM(SUM($M$31:M137),-SUM($T$31:T137))/$V$31</f>
        <v>#VALUE!</v>
      </c>
      <c r="AG137">
        <f t="shared" si="27"/>
        <v>11342</v>
      </c>
    </row>
    <row r="138" spans="2:33" x14ac:dyDescent="0.15">
      <c r="B138" s="1">
        <f t="shared" si="41"/>
        <v>107</v>
      </c>
      <c r="C138" s="1">
        <f t="shared" si="28"/>
        <v>107</v>
      </c>
      <c r="D138" s="25">
        <v>3.4896153731457401E-2</v>
      </c>
      <c r="E138" s="2">
        <f t="shared" si="29"/>
        <v>81717.32511198445</v>
      </c>
      <c r="F138" s="3">
        <f t="shared" si="42"/>
        <v>0.04</v>
      </c>
      <c r="G138" s="2">
        <f t="shared" si="43"/>
        <v>477.4153</v>
      </c>
      <c r="H138" s="2">
        <f t="shared" si="44"/>
        <v>272.39108370661484</v>
      </c>
      <c r="I138" s="2">
        <f t="shared" si="45"/>
        <v>205.02421629338517</v>
      </c>
      <c r="J138" s="2">
        <f t="shared" si="30"/>
        <v>81512.300895691063</v>
      </c>
      <c r="K138" s="2" t="e">
        <f t="shared" si="49"/>
        <v>#VALUE!</v>
      </c>
      <c r="L138" s="9">
        <v>1.6821425527395739E-3</v>
      </c>
      <c r="M138" s="2" t="e">
        <f t="shared" si="31"/>
        <v>#VALUE!</v>
      </c>
      <c r="N138" s="3">
        <f t="shared" si="32"/>
        <v>0.04</v>
      </c>
      <c r="O138" s="2" t="e">
        <f t="shared" si="33"/>
        <v>#VALUE!</v>
      </c>
      <c r="P138" s="10">
        <f t="shared" si="25"/>
        <v>0.81512300895691059</v>
      </c>
      <c r="Q138" s="13"/>
      <c r="R138" s="2" t="e">
        <f t="shared" si="46"/>
        <v>#VALUE!</v>
      </c>
      <c r="S138" s="2" t="e">
        <f t="shared" si="47"/>
        <v>#VALUE!</v>
      </c>
      <c r="T138" s="2" t="e">
        <f t="shared" ca="1" si="34"/>
        <v>#VALUE!</v>
      </c>
      <c r="U138" s="2" t="e">
        <f t="shared" si="48"/>
        <v>#VALUE!</v>
      </c>
      <c r="V138" s="2" t="e">
        <f t="shared" si="35"/>
        <v>#VALUE!</v>
      </c>
      <c r="W138" s="2">
        <f t="shared" si="36"/>
        <v>477.4153</v>
      </c>
      <c r="X138" s="2" t="e">
        <f t="shared" ca="1" si="37"/>
        <v>#VALUE!</v>
      </c>
      <c r="Y138" s="2" t="e">
        <f t="shared" ca="1" si="38"/>
        <v>#VALUE!</v>
      </c>
      <c r="Z138" s="10">
        <f t="shared" si="39"/>
        <v>0.70042110949545655</v>
      </c>
      <c r="AA138" s="10" t="e">
        <f t="shared" ca="1" si="26"/>
        <v>#VALUE!</v>
      </c>
      <c r="AB138" s="11" t="e">
        <f t="shared" si="40"/>
        <v>#VALUE!</v>
      </c>
      <c r="AC138" s="11" t="e">
        <f>SUM($S$31:S138)/$V$31</f>
        <v>#VALUE!</v>
      </c>
      <c r="AD138" s="11" t="e">
        <f>SUM($S$31:S138,$R$31:R138,$T$31:T138)/$V$31</f>
        <v>#VALUE!</v>
      </c>
      <c r="AE138" s="11" t="e">
        <f>SUM($M$31:M138)/$V$31</f>
        <v>#VALUE!</v>
      </c>
      <c r="AF138" s="11" t="e">
        <f ca="1">SUM(SUM($M$31:M138),-SUM($T$31:T138))/$V$31</f>
        <v>#VALUE!</v>
      </c>
      <c r="AG138">
        <f t="shared" si="27"/>
        <v>11556</v>
      </c>
    </row>
    <row r="139" spans="2:33" x14ac:dyDescent="0.15">
      <c r="B139" s="1">
        <f t="shared" si="41"/>
        <v>108</v>
      </c>
      <c r="C139" s="1">
        <f t="shared" si="28"/>
        <v>108</v>
      </c>
      <c r="D139" s="25">
        <v>3.5099017413196501E-2</v>
      </c>
      <c r="E139" s="2">
        <f t="shared" si="29"/>
        <v>81512.300895691063</v>
      </c>
      <c r="F139" s="3">
        <f t="shared" si="42"/>
        <v>0.04</v>
      </c>
      <c r="G139" s="2">
        <f t="shared" si="43"/>
        <v>477.4153</v>
      </c>
      <c r="H139" s="2">
        <f t="shared" si="44"/>
        <v>271.70766965230354</v>
      </c>
      <c r="I139" s="2">
        <f t="shared" si="45"/>
        <v>205.70763034769647</v>
      </c>
      <c r="J139" s="2">
        <f t="shared" si="30"/>
        <v>81306.59326534337</v>
      </c>
      <c r="K139" s="2" t="e">
        <f t="shared" si="49"/>
        <v>#VALUE!</v>
      </c>
      <c r="L139" s="9">
        <v>1.6821425527395739E-3</v>
      </c>
      <c r="M139" s="2" t="e">
        <f t="shared" si="31"/>
        <v>#VALUE!</v>
      </c>
      <c r="N139" s="3">
        <f t="shared" si="32"/>
        <v>0.04</v>
      </c>
      <c r="O139" s="2" t="e">
        <f t="shared" si="33"/>
        <v>#VALUE!</v>
      </c>
      <c r="P139" s="10">
        <f t="shared" si="25"/>
        <v>0.81306593265343374</v>
      </c>
      <c r="Q139" s="13"/>
      <c r="R139" s="2" t="e">
        <f t="shared" si="46"/>
        <v>#VALUE!</v>
      </c>
      <c r="S139" s="2" t="e">
        <f t="shared" si="47"/>
        <v>#VALUE!</v>
      </c>
      <c r="T139" s="2" t="e">
        <f t="shared" ca="1" si="34"/>
        <v>#VALUE!</v>
      </c>
      <c r="U139" s="2" t="e">
        <f t="shared" si="48"/>
        <v>#VALUE!</v>
      </c>
      <c r="V139" s="2" t="e">
        <f t="shared" si="35"/>
        <v>#VALUE!</v>
      </c>
      <c r="W139" s="2">
        <f t="shared" si="36"/>
        <v>477.4153</v>
      </c>
      <c r="X139" s="2" t="e">
        <f t="shared" ca="1" si="37"/>
        <v>#VALUE!</v>
      </c>
      <c r="Y139" s="2" t="e">
        <f t="shared" ca="1" si="38"/>
        <v>#VALUE!</v>
      </c>
      <c r="Z139" s="10">
        <f t="shared" si="39"/>
        <v>0.69809412906583446</v>
      </c>
      <c r="AA139" s="10" t="e">
        <f t="shared" ca="1" si="26"/>
        <v>#VALUE!</v>
      </c>
      <c r="AB139" s="11" t="e">
        <f t="shared" si="40"/>
        <v>#VALUE!</v>
      </c>
      <c r="AC139" s="11" t="e">
        <f>SUM($S$31:S139)/$V$31</f>
        <v>#VALUE!</v>
      </c>
      <c r="AD139" s="11" t="e">
        <f>SUM($S$31:S139,$R$31:R139,$T$31:T139)/$V$31</f>
        <v>#VALUE!</v>
      </c>
      <c r="AE139" s="11" t="e">
        <f>SUM($M$31:M139)/$V$31</f>
        <v>#VALUE!</v>
      </c>
      <c r="AF139" s="11" t="e">
        <f ca="1">SUM(SUM($M$31:M139),-SUM($T$31:T139))/$V$31</f>
        <v>#VALUE!</v>
      </c>
      <c r="AG139">
        <f t="shared" si="27"/>
        <v>11772</v>
      </c>
    </row>
    <row r="140" spans="2:33" x14ac:dyDescent="0.15">
      <c r="B140" s="1">
        <f t="shared" si="41"/>
        <v>109</v>
      </c>
      <c r="C140" s="1">
        <f t="shared" si="28"/>
        <v>109</v>
      </c>
      <c r="D140" s="25">
        <v>3.5295360750103699E-2</v>
      </c>
      <c r="E140" s="2">
        <f t="shared" si="29"/>
        <v>81306.59326534337</v>
      </c>
      <c r="F140" s="3">
        <f t="shared" si="42"/>
        <v>0.04</v>
      </c>
      <c r="G140" s="2">
        <f t="shared" si="43"/>
        <v>477.4153</v>
      </c>
      <c r="H140" s="2">
        <f t="shared" si="44"/>
        <v>271.02197755114457</v>
      </c>
      <c r="I140" s="2">
        <f t="shared" si="45"/>
        <v>206.39332244885543</v>
      </c>
      <c r="J140" s="2">
        <f t="shared" si="30"/>
        <v>81100.199942894513</v>
      </c>
      <c r="K140" s="2" t="e">
        <f t="shared" si="49"/>
        <v>#VALUE!</v>
      </c>
      <c r="L140" s="9">
        <v>1.6821425527395739E-3</v>
      </c>
      <c r="M140" s="2" t="e">
        <f t="shared" si="31"/>
        <v>#VALUE!</v>
      </c>
      <c r="N140" s="3">
        <f t="shared" si="32"/>
        <v>0.04</v>
      </c>
      <c r="O140" s="2" t="e">
        <f t="shared" si="33"/>
        <v>#VALUE!</v>
      </c>
      <c r="P140" s="10">
        <f t="shared" si="25"/>
        <v>0.81100199942894513</v>
      </c>
      <c r="Q140" s="13"/>
      <c r="R140" s="2" t="e">
        <f t="shared" si="46"/>
        <v>#VALUE!</v>
      </c>
      <c r="S140" s="2" t="e">
        <f t="shared" si="47"/>
        <v>#VALUE!</v>
      </c>
      <c r="T140" s="2" t="e">
        <f t="shared" ca="1" si="34"/>
        <v>#VALUE!</v>
      </c>
      <c r="U140" s="2" t="e">
        <f t="shared" si="48"/>
        <v>#VALUE!</v>
      </c>
      <c r="V140" s="2" t="e">
        <f t="shared" si="35"/>
        <v>#VALUE!</v>
      </c>
      <c r="W140" s="2">
        <f t="shared" si="36"/>
        <v>477.4153</v>
      </c>
      <c r="X140" s="2" t="e">
        <f t="shared" ca="1" si="37"/>
        <v>#VALUE!</v>
      </c>
      <c r="Y140" s="2" t="e">
        <f t="shared" ca="1" si="38"/>
        <v>#VALUE!</v>
      </c>
      <c r="Z140" s="10">
        <f t="shared" si="39"/>
        <v>0.69577487946820249</v>
      </c>
      <c r="AA140" s="10" t="e">
        <f t="shared" ca="1" si="26"/>
        <v>#VALUE!</v>
      </c>
      <c r="AB140" s="11" t="e">
        <f t="shared" si="40"/>
        <v>#VALUE!</v>
      </c>
      <c r="AC140" s="11" t="e">
        <f>SUM($S$31:S140)/$V$31</f>
        <v>#VALUE!</v>
      </c>
      <c r="AD140" s="11" t="e">
        <f>SUM($S$31:S140,$R$31:R140,$T$31:T140)/$V$31</f>
        <v>#VALUE!</v>
      </c>
      <c r="AE140" s="11" t="e">
        <f>SUM($M$31:M140)/$V$31</f>
        <v>#VALUE!</v>
      </c>
      <c r="AF140" s="11" t="e">
        <f ca="1">SUM(SUM($M$31:M140),-SUM($T$31:T140))/$V$31</f>
        <v>#VALUE!</v>
      </c>
      <c r="AG140">
        <f t="shared" si="27"/>
        <v>11990</v>
      </c>
    </row>
    <row r="141" spans="2:33" x14ac:dyDescent="0.15">
      <c r="B141" s="1">
        <f t="shared" si="41"/>
        <v>110</v>
      </c>
      <c r="C141" s="1">
        <f t="shared" si="28"/>
        <v>110</v>
      </c>
      <c r="D141" s="25">
        <v>3.5499027056787501E-2</v>
      </c>
      <c r="E141" s="2">
        <f t="shared" si="29"/>
        <v>81100.199942894513</v>
      </c>
      <c r="F141" s="3">
        <f t="shared" si="42"/>
        <v>0.04</v>
      </c>
      <c r="G141" s="2">
        <f t="shared" si="43"/>
        <v>477.4153</v>
      </c>
      <c r="H141" s="2">
        <f t="shared" si="44"/>
        <v>270.33399980964839</v>
      </c>
      <c r="I141" s="2">
        <f t="shared" si="45"/>
        <v>207.08130019035161</v>
      </c>
      <c r="J141" s="2">
        <f t="shared" si="30"/>
        <v>80893.118642704154</v>
      </c>
      <c r="K141" s="2" t="e">
        <f t="shared" si="49"/>
        <v>#VALUE!</v>
      </c>
      <c r="L141" s="9">
        <v>1.6821425527395739E-3</v>
      </c>
      <c r="M141" s="2" t="e">
        <f t="shared" si="31"/>
        <v>#VALUE!</v>
      </c>
      <c r="N141" s="3">
        <f t="shared" si="32"/>
        <v>0.04</v>
      </c>
      <c r="O141" s="2" t="e">
        <f t="shared" si="33"/>
        <v>#VALUE!</v>
      </c>
      <c r="P141" s="10">
        <f t="shared" si="25"/>
        <v>0.80893118642704154</v>
      </c>
      <c r="Q141" s="13"/>
      <c r="R141" s="2" t="e">
        <f t="shared" si="46"/>
        <v>#VALUE!</v>
      </c>
      <c r="S141" s="2" t="e">
        <f t="shared" si="47"/>
        <v>#VALUE!</v>
      </c>
      <c r="T141" s="2" t="e">
        <f t="shared" ca="1" si="34"/>
        <v>#VALUE!</v>
      </c>
      <c r="U141" s="2" t="e">
        <f t="shared" si="48"/>
        <v>#VALUE!</v>
      </c>
      <c r="V141" s="2" t="e">
        <f t="shared" si="35"/>
        <v>#VALUE!</v>
      </c>
      <c r="W141" s="2">
        <f t="shared" si="36"/>
        <v>477.4153</v>
      </c>
      <c r="X141" s="2" t="e">
        <f t="shared" ca="1" si="37"/>
        <v>#VALUE!</v>
      </c>
      <c r="Y141" s="2" t="e">
        <f t="shared" ca="1" si="38"/>
        <v>#VALUE!</v>
      </c>
      <c r="Z141" s="10">
        <f t="shared" si="39"/>
        <v>0.69346333501873336</v>
      </c>
      <c r="AA141" s="10" t="e">
        <f t="shared" ca="1" si="26"/>
        <v>#VALUE!</v>
      </c>
      <c r="AB141" s="11" t="e">
        <f t="shared" si="40"/>
        <v>#VALUE!</v>
      </c>
      <c r="AC141" s="11" t="e">
        <f>SUM($S$31:S141)/$V$31</f>
        <v>#VALUE!</v>
      </c>
      <c r="AD141" s="11" t="e">
        <f>SUM($S$31:S141,$R$31:R141,$T$31:T141)/$V$31</f>
        <v>#VALUE!</v>
      </c>
      <c r="AE141" s="11" t="e">
        <f>SUM($M$31:M141)/$V$31</f>
        <v>#VALUE!</v>
      </c>
      <c r="AF141" s="11" t="e">
        <f ca="1">SUM(SUM($M$31:M141),-SUM($T$31:T141))/$V$31</f>
        <v>#VALUE!</v>
      </c>
      <c r="AG141">
        <f t="shared" si="27"/>
        <v>12210</v>
      </c>
    </row>
    <row r="142" spans="2:33" x14ac:dyDescent="0.15">
      <c r="B142" s="1">
        <f t="shared" si="41"/>
        <v>111</v>
      </c>
      <c r="C142" s="1">
        <f t="shared" si="28"/>
        <v>111</v>
      </c>
      <c r="D142" s="25">
        <v>3.5694130514602997E-2</v>
      </c>
      <c r="E142" s="2">
        <f t="shared" si="29"/>
        <v>80893.118642704154</v>
      </c>
      <c r="F142" s="3">
        <f t="shared" si="42"/>
        <v>0.04</v>
      </c>
      <c r="G142" s="2">
        <f t="shared" si="43"/>
        <v>477.4153</v>
      </c>
      <c r="H142" s="2">
        <f t="shared" si="44"/>
        <v>269.64372880901385</v>
      </c>
      <c r="I142" s="2">
        <f t="shared" si="45"/>
        <v>207.77157119098615</v>
      </c>
      <c r="J142" s="2">
        <f t="shared" si="30"/>
        <v>80685.34707151317</v>
      </c>
      <c r="K142" s="2" t="e">
        <f t="shared" si="49"/>
        <v>#VALUE!</v>
      </c>
      <c r="L142" s="9">
        <v>1.6821425527395739E-3</v>
      </c>
      <c r="M142" s="2" t="e">
        <f t="shared" si="31"/>
        <v>#VALUE!</v>
      </c>
      <c r="N142" s="3">
        <f t="shared" si="32"/>
        <v>0.04</v>
      </c>
      <c r="O142" s="2" t="e">
        <f t="shared" si="33"/>
        <v>#VALUE!</v>
      </c>
      <c r="P142" s="10">
        <f t="shared" si="25"/>
        <v>0.80685347071513169</v>
      </c>
      <c r="Q142" s="13"/>
      <c r="R142" s="2" t="e">
        <f t="shared" si="46"/>
        <v>#VALUE!</v>
      </c>
      <c r="S142" s="2" t="e">
        <f t="shared" si="47"/>
        <v>#VALUE!</v>
      </c>
      <c r="T142" s="2" t="e">
        <f t="shared" ca="1" si="34"/>
        <v>#VALUE!</v>
      </c>
      <c r="U142" s="2" t="e">
        <f t="shared" si="48"/>
        <v>#VALUE!</v>
      </c>
      <c r="V142" s="2" t="e">
        <f t="shared" si="35"/>
        <v>#VALUE!</v>
      </c>
      <c r="W142" s="2">
        <f t="shared" si="36"/>
        <v>477.4153</v>
      </c>
      <c r="X142" s="2" t="e">
        <f t="shared" ca="1" si="37"/>
        <v>#VALUE!</v>
      </c>
      <c r="Y142" s="2" t="e">
        <f t="shared" ca="1" si="38"/>
        <v>#VALUE!</v>
      </c>
      <c r="Z142" s="10">
        <f t="shared" si="39"/>
        <v>0.69115947011892842</v>
      </c>
      <c r="AA142" s="10" t="e">
        <f t="shared" ca="1" si="26"/>
        <v>#VALUE!</v>
      </c>
      <c r="AB142" s="11" t="e">
        <f t="shared" si="40"/>
        <v>#VALUE!</v>
      </c>
      <c r="AC142" s="11" t="e">
        <f>SUM($S$31:S142)/$V$31</f>
        <v>#VALUE!</v>
      </c>
      <c r="AD142" s="11" t="e">
        <f>SUM($S$31:S142,$R$31:R142,$T$31:T142)/$V$31</f>
        <v>#VALUE!</v>
      </c>
      <c r="AE142" s="11" t="e">
        <f>SUM($M$31:M142)/$V$31</f>
        <v>#VALUE!</v>
      </c>
      <c r="AF142" s="11" t="e">
        <f ca="1">SUM(SUM($M$31:M142),-SUM($T$31:T142))/$V$31</f>
        <v>#VALUE!</v>
      </c>
      <c r="AG142">
        <f t="shared" si="27"/>
        <v>12432</v>
      </c>
    </row>
    <row r="143" spans="2:33" x14ac:dyDescent="0.15">
      <c r="B143" s="1">
        <f t="shared" si="41"/>
        <v>112</v>
      </c>
      <c r="C143" s="1">
        <f t="shared" si="28"/>
        <v>112</v>
      </c>
      <c r="D143" s="25">
        <v>3.58842787307262E-2</v>
      </c>
      <c r="E143" s="2">
        <f t="shared" si="29"/>
        <v>80685.34707151317</v>
      </c>
      <c r="F143" s="3">
        <f t="shared" si="42"/>
        <v>0.04</v>
      </c>
      <c r="G143" s="2">
        <f t="shared" si="43"/>
        <v>477.4153</v>
      </c>
      <c r="H143" s="2">
        <f t="shared" si="44"/>
        <v>268.95115690504394</v>
      </c>
      <c r="I143" s="2">
        <f t="shared" si="45"/>
        <v>208.46414309495606</v>
      </c>
      <c r="J143" s="2">
        <f t="shared" si="30"/>
        <v>80476.882928418214</v>
      </c>
      <c r="K143" s="2" t="e">
        <f t="shared" si="49"/>
        <v>#VALUE!</v>
      </c>
      <c r="L143" s="9">
        <v>1.6821425527395739E-3</v>
      </c>
      <c r="M143" s="2" t="e">
        <f t="shared" si="31"/>
        <v>#VALUE!</v>
      </c>
      <c r="N143" s="3">
        <f t="shared" si="32"/>
        <v>0.04</v>
      </c>
      <c r="O143" s="2" t="e">
        <f t="shared" si="33"/>
        <v>#VALUE!</v>
      </c>
      <c r="P143" s="10">
        <f t="shared" si="25"/>
        <v>0.80476882928418214</v>
      </c>
      <c r="Q143" s="13"/>
      <c r="R143" s="2" t="e">
        <f t="shared" si="46"/>
        <v>#VALUE!</v>
      </c>
      <c r="S143" s="2" t="e">
        <f t="shared" si="47"/>
        <v>#VALUE!</v>
      </c>
      <c r="T143" s="2" t="e">
        <f t="shared" ca="1" si="34"/>
        <v>#VALUE!</v>
      </c>
      <c r="U143" s="2" t="e">
        <f t="shared" si="48"/>
        <v>#VALUE!</v>
      </c>
      <c r="V143" s="2" t="e">
        <f t="shared" si="35"/>
        <v>#VALUE!</v>
      </c>
      <c r="W143" s="2">
        <f t="shared" si="36"/>
        <v>477.4153</v>
      </c>
      <c r="X143" s="2" t="e">
        <f t="shared" ca="1" si="37"/>
        <v>#VALUE!</v>
      </c>
      <c r="Y143" s="2" t="e">
        <f t="shared" ca="1" si="38"/>
        <v>#VALUE!</v>
      </c>
      <c r="Z143" s="10">
        <f t="shared" si="39"/>
        <v>0.68886325925533343</v>
      </c>
      <c r="AA143" s="10" t="e">
        <f t="shared" ca="1" si="26"/>
        <v>#VALUE!</v>
      </c>
      <c r="AB143" s="11" t="e">
        <f t="shared" si="40"/>
        <v>#VALUE!</v>
      </c>
      <c r="AC143" s="11" t="e">
        <f>SUM($S$31:S143)/$V$31</f>
        <v>#VALUE!</v>
      </c>
      <c r="AD143" s="11" t="e">
        <f>SUM($S$31:S143,$R$31:R143,$T$31:T143)/$V$31</f>
        <v>#VALUE!</v>
      </c>
      <c r="AE143" s="11" t="e">
        <f>SUM($M$31:M143)/$V$31</f>
        <v>#VALUE!</v>
      </c>
      <c r="AF143" s="11" t="e">
        <f ca="1">SUM(SUM($M$31:M143),-SUM($T$31:T143))/$V$31</f>
        <v>#VALUE!</v>
      </c>
      <c r="AG143">
        <f t="shared" si="27"/>
        <v>12656</v>
      </c>
    </row>
    <row r="144" spans="2:33" x14ac:dyDescent="0.15">
      <c r="B144" s="1">
        <f t="shared" si="41"/>
        <v>113</v>
      </c>
      <c r="C144" s="1">
        <f t="shared" si="28"/>
        <v>113</v>
      </c>
      <c r="D144" s="25">
        <v>3.6062373784311298E-2</v>
      </c>
      <c r="E144" s="2">
        <f t="shared" si="29"/>
        <v>80476.882928418214</v>
      </c>
      <c r="F144" s="3">
        <f t="shared" si="42"/>
        <v>0.04</v>
      </c>
      <c r="G144" s="2">
        <f t="shared" si="43"/>
        <v>477.4153</v>
      </c>
      <c r="H144" s="2">
        <f t="shared" si="44"/>
        <v>268.25627642806074</v>
      </c>
      <c r="I144" s="2">
        <f t="shared" si="45"/>
        <v>209.15902357193926</v>
      </c>
      <c r="J144" s="2">
        <f t="shared" si="30"/>
        <v>80267.72390484628</v>
      </c>
      <c r="K144" s="2" t="e">
        <f t="shared" si="49"/>
        <v>#VALUE!</v>
      </c>
      <c r="L144" s="9">
        <v>1.6821425527395739E-3</v>
      </c>
      <c r="M144" s="2" t="e">
        <f t="shared" si="31"/>
        <v>#VALUE!</v>
      </c>
      <c r="N144" s="3">
        <f t="shared" si="32"/>
        <v>0.04</v>
      </c>
      <c r="O144" s="2" t="e">
        <f t="shared" si="33"/>
        <v>#VALUE!</v>
      </c>
      <c r="P144" s="10">
        <f t="shared" si="25"/>
        <v>0.80267723904846278</v>
      </c>
      <c r="Q144" s="13"/>
      <c r="R144" s="2" t="e">
        <f t="shared" si="46"/>
        <v>#VALUE!</v>
      </c>
      <c r="S144" s="2" t="e">
        <f t="shared" si="47"/>
        <v>#VALUE!</v>
      </c>
      <c r="T144" s="2" t="e">
        <f t="shared" ca="1" si="34"/>
        <v>#VALUE!</v>
      </c>
      <c r="U144" s="2" t="e">
        <f t="shared" si="48"/>
        <v>#VALUE!</v>
      </c>
      <c r="V144" s="2" t="e">
        <f t="shared" si="35"/>
        <v>#VALUE!</v>
      </c>
      <c r="W144" s="2">
        <f t="shared" si="36"/>
        <v>477.4153</v>
      </c>
      <c r="X144" s="2" t="e">
        <f t="shared" ca="1" si="37"/>
        <v>#VALUE!</v>
      </c>
      <c r="Y144" s="2" t="e">
        <f t="shared" ca="1" si="38"/>
        <v>#VALUE!</v>
      </c>
      <c r="Z144" s="10">
        <f t="shared" si="39"/>
        <v>0.68657467699925667</v>
      </c>
      <c r="AA144" s="10" t="e">
        <f t="shared" ca="1" si="26"/>
        <v>#VALUE!</v>
      </c>
      <c r="AB144" s="11" t="e">
        <f t="shared" si="40"/>
        <v>#VALUE!</v>
      </c>
      <c r="AC144" s="11" t="e">
        <f>SUM($S$31:S144)/$V$31</f>
        <v>#VALUE!</v>
      </c>
      <c r="AD144" s="11" t="e">
        <f>SUM($S$31:S144,$R$31:R144,$T$31:T144)/$V$31</f>
        <v>#VALUE!</v>
      </c>
      <c r="AE144" s="11" t="e">
        <f>SUM($M$31:M144)/$V$31</f>
        <v>#VALUE!</v>
      </c>
      <c r="AF144" s="11" t="e">
        <f ca="1">SUM(SUM($M$31:M144),-SUM($T$31:T144))/$V$31</f>
        <v>#VALUE!</v>
      </c>
      <c r="AG144">
        <f t="shared" si="27"/>
        <v>12882</v>
      </c>
    </row>
    <row r="145" spans="2:33" x14ac:dyDescent="0.15">
      <c r="B145" s="1">
        <f t="shared" si="41"/>
        <v>114</v>
      </c>
      <c r="C145" s="1">
        <f t="shared" si="28"/>
        <v>114</v>
      </c>
      <c r="D145" s="25">
        <v>3.6235586504718503E-2</v>
      </c>
      <c r="E145" s="2">
        <f t="shared" si="29"/>
        <v>80267.72390484628</v>
      </c>
      <c r="F145" s="3">
        <f t="shared" si="42"/>
        <v>0.04</v>
      </c>
      <c r="G145" s="2">
        <f t="shared" si="43"/>
        <v>477.4153</v>
      </c>
      <c r="H145" s="2">
        <f t="shared" si="44"/>
        <v>267.55907968282094</v>
      </c>
      <c r="I145" s="2">
        <f t="shared" si="45"/>
        <v>209.85622031717907</v>
      </c>
      <c r="J145" s="2">
        <f t="shared" si="30"/>
        <v>80057.867684529105</v>
      </c>
      <c r="K145" s="2" t="e">
        <f t="shared" si="49"/>
        <v>#VALUE!</v>
      </c>
      <c r="L145" s="9">
        <v>1.6821425527395739E-3</v>
      </c>
      <c r="M145" s="2" t="e">
        <f t="shared" si="31"/>
        <v>#VALUE!</v>
      </c>
      <c r="N145" s="3">
        <f t="shared" si="32"/>
        <v>0.04</v>
      </c>
      <c r="O145" s="2" t="e">
        <f t="shared" si="33"/>
        <v>#VALUE!</v>
      </c>
      <c r="P145" s="10">
        <f t="shared" si="25"/>
        <v>0.80057867684529105</v>
      </c>
      <c r="Q145" s="13"/>
      <c r="R145" s="2" t="e">
        <f t="shared" si="46"/>
        <v>#VALUE!</v>
      </c>
      <c r="S145" s="2" t="e">
        <f t="shared" si="47"/>
        <v>#VALUE!</v>
      </c>
      <c r="T145" s="2" t="e">
        <f t="shared" ca="1" si="34"/>
        <v>#VALUE!</v>
      </c>
      <c r="U145" s="2" t="e">
        <f t="shared" si="48"/>
        <v>#VALUE!</v>
      </c>
      <c r="V145" s="2" t="e">
        <f t="shared" si="35"/>
        <v>#VALUE!</v>
      </c>
      <c r="W145" s="2">
        <f t="shared" si="36"/>
        <v>477.4153</v>
      </c>
      <c r="X145" s="2" t="e">
        <f t="shared" ca="1" si="37"/>
        <v>#VALUE!</v>
      </c>
      <c r="Y145" s="2" t="e">
        <f t="shared" ca="1" si="38"/>
        <v>#VALUE!</v>
      </c>
      <c r="Z145" s="10">
        <f t="shared" si="39"/>
        <v>0.68429369800648732</v>
      </c>
      <c r="AA145" s="10" t="e">
        <f t="shared" ca="1" si="26"/>
        <v>#VALUE!</v>
      </c>
      <c r="AB145" s="11" t="e">
        <f t="shared" si="40"/>
        <v>#VALUE!</v>
      </c>
      <c r="AC145" s="11" t="e">
        <f>SUM($S$31:S145)/$V$31</f>
        <v>#VALUE!</v>
      </c>
      <c r="AD145" s="11" t="e">
        <f>SUM($S$31:S145,$R$31:R145,$T$31:T145)/$V$31</f>
        <v>#VALUE!</v>
      </c>
      <c r="AE145" s="11" t="e">
        <f>SUM($M$31:M145)/$V$31</f>
        <v>#VALUE!</v>
      </c>
      <c r="AF145" s="11" t="e">
        <f ca="1">SUM(SUM($M$31:M145),-SUM($T$31:T145))/$V$31</f>
        <v>#VALUE!</v>
      </c>
      <c r="AG145">
        <f t="shared" si="27"/>
        <v>13110</v>
      </c>
    </row>
    <row r="146" spans="2:33" x14ac:dyDescent="0.15">
      <c r="B146" s="1">
        <f t="shared" si="41"/>
        <v>115</v>
      </c>
      <c r="C146" s="1">
        <f t="shared" si="28"/>
        <v>115</v>
      </c>
      <c r="D146" s="25">
        <v>3.6401110636287502E-2</v>
      </c>
      <c r="E146" s="2">
        <f t="shared" si="29"/>
        <v>80057.867684529105</v>
      </c>
      <c r="F146" s="3">
        <f t="shared" si="42"/>
        <v>0.04</v>
      </c>
      <c r="G146" s="2">
        <f t="shared" si="43"/>
        <v>477.4153</v>
      </c>
      <c r="H146" s="2">
        <f t="shared" si="44"/>
        <v>266.85955894843039</v>
      </c>
      <c r="I146" s="2">
        <f t="shared" si="45"/>
        <v>210.55574105156961</v>
      </c>
      <c r="J146" s="2">
        <f t="shared" si="30"/>
        <v>79847.311943477529</v>
      </c>
      <c r="K146" s="2" t="e">
        <f t="shared" si="49"/>
        <v>#VALUE!</v>
      </c>
      <c r="L146" s="9">
        <v>1.6821425527395739E-3</v>
      </c>
      <c r="M146" s="2" t="e">
        <f t="shared" si="31"/>
        <v>#VALUE!</v>
      </c>
      <c r="N146" s="3">
        <f t="shared" si="32"/>
        <v>0.04</v>
      </c>
      <c r="O146" s="2" t="e">
        <f t="shared" si="33"/>
        <v>#VALUE!</v>
      </c>
      <c r="P146" s="10">
        <f t="shared" si="25"/>
        <v>0.79847311943477528</v>
      </c>
      <c r="Q146" s="13"/>
      <c r="R146" s="2" t="e">
        <f t="shared" si="46"/>
        <v>#VALUE!</v>
      </c>
      <c r="S146" s="2" t="e">
        <f t="shared" si="47"/>
        <v>#VALUE!</v>
      </c>
      <c r="T146" s="2" t="e">
        <f t="shared" ca="1" si="34"/>
        <v>#VALUE!</v>
      </c>
      <c r="U146" s="2" t="e">
        <f t="shared" si="48"/>
        <v>#VALUE!</v>
      </c>
      <c r="V146" s="2" t="e">
        <f t="shared" si="35"/>
        <v>#VALUE!</v>
      </c>
      <c r="W146" s="2">
        <f t="shared" si="36"/>
        <v>477.4153</v>
      </c>
      <c r="X146" s="2" t="e">
        <f t="shared" ca="1" si="37"/>
        <v>#VALUE!</v>
      </c>
      <c r="Y146" s="2" t="e">
        <f t="shared" ca="1" si="38"/>
        <v>#VALUE!</v>
      </c>
      <c r="Z146" s="10">
        <f t="shared" si="39"/>
        <v>0.68202029701701417</v>
      </c>
      <c r="AA146" s="10" t="e">
        <f t="shared" ca="1" si="26"/>
        <v>#VALUE!</v>
      </c>
      <c r="AB146" s="11" t="e">
        <f t="shared" si="40"/>
        <v>#VALUE!</v>
      </c>
      <c r="AC146" s="11" t="e">
        <f>SUM($S$31:S146)/$V$31</f>
        <v>#VALUE!</v>
      </c>
      <c r="AD146" s="11" t="e">
        <f>SUM($S$31:S146,$R$31:R146,$T$31:T146)/$V$31</f>
        <v>#VALUE!</v>
      </c>
      <c r="AE146" s="11" t="e">
        <f>SUM($M$31:M146)/$V$31</f>
        <v>#VALUE!</v>
      </c>
      <c r="AF146" s="11" t="e">
        <f ca="1">SUM(SUM($M$31:M146),-SUM($T$31:T146))/$V$31</f>
        <v>#VALUE!</v>
      </c>
      <c r="AG146">
        <f t="shared" si="27"/>
        <v>13340</v>
      </c>
    </row>
    <row r="147" spans="2:33" x14ac:dyDescent="0.15">
      <c r="B147" s="1">
        <f t="shared" si="41"/>
        <v>116</v>
      </c>
      <c r="C147" s="1">
        <f t="shared" si="28"/>
        <v>116</v>
      </c>
      <c r="D147" s="25">
        <v>3.6553556583883505E-2</v>
      </c>
      <c r="E147" s="2">
        <f t="shared" si="29"/>
        <v>79847.311943477529</v>
      </c>
      <c r="F147" s="3">
        <f t="shared" si="42"/>
        <v>0.04</v>
      </c>
      <c r="G147" s="2">
        <f t="shared" si="43"/>
        <v>477.4153</v>
      </c>
      <c r="H147" s="2">
        <f t="shared" si="44"/>
        <v>266.15770647825843</v>
      </c>
      <c r="I147" s="2">
        <f t="shared" si="45"/>
        <v>211.25759352174157</v>
      </c>
      <c r="J147" s="2">
        <f t="shared" si="30"/>
        <v>79636.054349955783</v>
      </c>
      <c r="K147" s="2" t="e">
        <f t="shared" si="49"/>
        <v>#VALUE!</v>
      </c>
      <c r="L147" s="9">
        <v>1.6821425527395739E-3</v>
      </c>
      <c r="M147" s="2" t="e">
        <f t="shared" si="31"/>
        <v>#VALUE!</v>
      </c>
      <c r="N147" s="3">
        <f t="shared" si="32"/>
        <v>0.04</v>
      </c>
      <c r="O147" s="2" t="e">
        <f t="shared" si="33"/>
        <v>#VALUE!</v>
      </c>
      <c r="P147" s="10">
        <f t="shared" si="25"/>
        <v>0.79636054349955787</v>
      </c>
      <c r="Q147" s="13"/>
      <c r="R147" s="2" t="e">
        <f t="shared" si="46"/>
        <v>#VALUE!</v>
      </c>
      <c r="S147" s="2" t="e">
        <f t="shared" si="47"/>
        <v>#VALUE!</v>
      </c>
      <c r="T147" s="2" t="e">
        <f t="shared" ca="1" si="34"/>
        <v>#VALUE!</v>
      </c>
      <c r="U147" s="2" t="e">
        <f t="shared" si="48"/>
        <v>#VALUE!</v>
      </c>
      <c r="V147" s="2" t="e">
        <f t="shared" si="35"/>
        <v>#VALUE!</v>
      </c>
      <c r="W147" s="2">
        <f t="shared" si="36"/>
        <v>477.4153</v>
      </c>
      <c r="X147" s="2" t="e">
        <f t="shared" ca="1" si="37"/>
        <v>#VALUE!</v>
      </c>
      <c r="Y147" s="2" t="e">
        <f t="shared" ca="1" si="38"/>
        <v>#VALUE!</v>
      </c>
      <c r="Z147" s="10">
        <f t="shared" si="39"/>
        <v>0.67975444885474667</v>
      </c>
      <c r="AA147" s="10" t="e">
        <f t="shared" ca="1" si="26"/>
        <v>#VALUE!</v>
      </c>
      <c r="AB147" s="11" t="e">
        <f t="shared" si="40"/>
        <v>#VALUE!</v>
      </c>
      <c r="AC147" s="11" t="e">
        <f>SUM($S$31:S147)/$V$31</f>
        <v>#VALUE!</v>
      </c>
      <c r="AD147" s="11" t="e">
        <f>SUM($S$31:S147,$R$31:R147,$T$31:T147)/$V$31</f>
        <v>#VALUE!</v>
      </c>
      <c r="AE147" s="11" t="e">
        <f>SUM($M$31:M147)/$V$31</f>
        <v>#VALUE!</v>
      </c>
      <c r="AF147" s="11" t="e">
        <f ca="1">SUM(SUM($M$31:M147),-SUM($T$31:T147))/$V$31</f>
        <v>#VALUE!</v>
      </c>
      <c r="AG147">
        <f t="shared" si="27"/>
        <v>13572</v>
      </c>
    </row>
    <row r="148" spans="2:33" x14ac:dyDescent="0.15">
      <c r="B148" s="1">
        <f t="shared" si="41"/>
        <v>117</v>
      </c>
      <c r="C148" s="1">
        <f t="shared" si="28"/>
        <v>117</v>
      </c>
      <c r="D148" s="25">
        <v>3.6701218616772301E-2</v>
      </c>
      <c r="E148" s="2">
        <f t="shared" si="29"/>
        <v>79636.054349955783</v>
      </c>
      <c r="F148" s="3">
        <f t="shared" si="42"/>
        <v>0.04</v>
      </c>
      <c r="G148" s="2">
        <f t="shared" si="43"/>
        <v>477.4153</v>
      </c>
      <c r="H148" s="2">
        <f t="shared" si="44"/>
        <v>265.45351449985264</v>
      </c>
      <c r="I148" s="2">
        <f t="shared" si="45"/>
        <v>211.96178550014736</v>
      </c>
      <c r="J148" s="2">
        <f t="shared" si="30"/>
        <v>79424.092564455641</v>
      </c>
      <c r="K148" s="2" t="e">
        <f t="shared" si="49"/>
        <v>#VALUE!</v>
      </c>
      <c r="L148" s="9">
        <v>1.6821425527395739E-3</v>
      </c>
      <c r="M148" s="2" t="e">
        <f t="shared" si="31"/>
        <v>#VALUE!</v>
      </c>
      <c r="N148" s="3">
        <f t="shared" si="32"/>
        <v>0.04</v>
      </c>
      <c r="O148" s="2" t="e">
        <f t="shared" si="33"/>
        <v>#VALUE!</v>
      </c>
      <c r="P148" s="10">
        <f t="shared" si="25"/>
        <v>0.79424092564455639</v>
      </c>
      <c r="Q148" s="13"/>
      <c r="R148" s="2" t="e">
        <f t="shared" si="46"/>
        <v>#VALUE!</v>
      </c>
      <c r="S148" s="2" t="e">
        <f t="shared" si="47"/>
        <v>#VALUE!</v>
      </c>
      <c r="T148" s="2" t="e">
        <f t="shared" ca="1" si="34"/>
        <v>#VALUE!</v>
      </c>
      <c r="U148" s="2" t="e">
        <f t="shared" si="48"/>
        <v>#VALUE!</v>
      </c>
      <c r="V148" s="2" t="e">
        <f t="shared" si="35"/>
        <v>#VALUE!</v>
      </c>
      <c r="W148" s="2">
        <f t="shared" si="36"/>
        <v>477.4153</v>
      </c>
      <c r="X148" s="2" t="e">
        <f t="shared" ca="1" si="37"/>
        <v>#VALUE!</v>
      </c>
      <c r="Y148" s="2" t="e">
        <f t="shared" ca="1" si="38"/>
        <v>#VALUE!</v>
      </c>
      <c r="Z148" s="10">
        <f t="shared" si="39"/>
        <v>0.67749612842723572</v>
      </c>
      <c r="AA148" s="10" t="e">
        <f t="shared" ca="1" si="26"/>
        <v>#VALUE!</v>
      </c>
      <c r="AB148" s="11" t="e">
        <f t="shared" si="40"/>
        <v>#VALUE!</v>
      </c>
      <c r="AC148" s="11" t="e">
        <f>SUM($S$31:S148)/$V$31</f>
        <v>#VALUE!</v>
      </c>
      <c r="AD148" s="11" t="e">
        <f>SUM($S$31:S148,$R$31:R148,$T$31:T148)/$V$31</f>
        <v>#VALUE!</v>
      </c>
      <c r="AE148" s="11" t="e">
        <f>SUM($M$31:M148)/$V$31</f>
        <v>#VALUE!</v>
      </c>
      <c r="AF148" s="11" t="e">
        <f ca="1">SUM(SUM($M$31:M148),-SUM($T$31:T148))/$V$31</f>
        <v>#VALUE!</v>
      </c>
      <c r="AG148">
        <f t="shared" si="27"/>
        <v>13806</v>
      </c>
    </row>
    <row r="149" spans="2:33" x14ac:dyDescent="0.15">
      <c r="B149" s="1">
        <f t="shared" si="41"/>
        <v>118</v>
      </c>
      <c r="C149" s="1">
        <f t="shared" si="28"/>
        <v>118</v>
      </c>
      <c r="D149" s="25">
        <v>3.6836660376433801E-2</v>
      </c>
      <c r="E149" s="2">
        <f t="shared" si="29"/>
        <v>79424.092564455641</v>
      </c>
      <c r="F149" s="3">
        <f t="shared" si="42"/>
        <v>0.04</v>
      </c>
      <c r="G149" s="2">
        <f t="shared" si="43"/>
        <v>477.4153</v>
      </c>
      <c r="H149" s="2">
        <f t="shared" si="44"/>
        <v>264.74697521485217</v>
      </c>
      <c r="I149" s="2">
        <f t="shared" si="45"/>
        <v>212.66832478514783</v>
      </c>
      <c r="J149" s="2">
        <f t="shared" si="30"/>
        <v>79211.424239670494</v>
      </c>
      <c r="K149" s="2" t="e">
        <f t="shared" si="49"/>
        <v>#VALUE!</v>
      </c>
      <c r="L149" s="9">
        <v>1.6821425527395739E-3</v>
      </c>
      <c r="M149" s="2" t="e">
        <f t="shared" si="31"/>
        <v>#VALUE!</v>
      </c>
      <c r="N149" s="3">
        <f t="shared" si="32"/>
        <v>0.04</v>
      </c>
      <c r="O149" s="2" t="e">
        <f t="shared" si="33"/>
        <v>#VALUE!</v>
      </c>
      <c r="P149" s="10">
        <f t="shared" si="25"/>
        <v>0.79211424239670492</v>
      </c>
      <c r="Q149" s="13"/>
      <c r="R149" s="2" t="e">
        <f t="shared" si="46"/>
        <v>#VALUE!</v>
      </c>
      <c r="S149" s="2" t="e">
        <f t="shared" si="47"/>
        <v>#VALUE!</v>
      </c>
      <c r="T149" s="2" t="e">
        <f t="shared" ca="1" si="34"/>
        <v>#VALUE!</v>
      </c>
      <c r="U149" s="2" t="e">
        <f t="shared" si="48"/>
        <v>#VALUE!</v>
      </c>
      <c r="V149" s="2" t="e">
        <f t="shared" si="35"/>
        <v>#VALUE!</v>
      </c>
      <c r="W149" s="2">
        <f t="shared" si="36"/>
        <v>477.4153</v>
      </c>
      <c r="X149" s="2" t="e">
        <f t="shared" ca="1" si="37"/>
        <v>#VALUE!</v>
      </c>
      <c r="Y149" s="2" t="e">
        <f t="shared" ca="1" si="38"/>
        <v>#VALUE!</v>
      </c>
      <c r="Z149" s="10">
        <f t="shared" si="39"/>
        <v>0.6752453107253954</v>
      </c>
      <c r="AA149" s="10" t="e">
        <f t="shared" ca="1" si="26"/>
        <v>#VALUE!</v>
      </c>
      <c r="AB149" s="11" t="e">
        <f t="shared" si="40"/>
        <v>#VALUE!</v>
      </c>
      <c r="AC149" s="11" t="e">
        <f>SUM($S$31:S149)/$V$31</f>
        <v>#VALUE!</v>
      </c>
      <c r="AD149" s="11" t="e">
        <f>SUM($S$31:S149,$R$31:R149,$T$31:T149)/$V$31</f>
        <v>#VALUE!</v>
      </c>
      <c r="AE149" s="11" t="e">
        <f>SUM($M$31:M149)/$V$31</f>
        <v>#VALUE!</v>
      </c>
      <c r="AF149" s="11" t="e">
        <f ca="1">SUM(SUM($M$31:M149),-SUM($T$31:T149))/$V$31</f>
        <v>#VALUE!</v>
      </c>
      <c r="AG149">
        <f t="shared" si="27"/>
        <v>14042</v>
      </c>
    </row>
    <row r="150" spans="2:33" x14ac:dyDescent="0.15">
      <c r="B150" s="1">
        <f t="shared" si="41"/>
        <v>119</v>
      </c>
      <c r="C150" s="1">
        <f t="shared" si="28"/>
        <v>119</v>
      </c>
      <c r="D150" s="25">
        <v>3.6967375554090104E-2</v>
      </c>
      <c r="E150" s="2">
        <f t="shared" si="29"/>
        <v>79211.424239670494</v>
      </c>
      <c r="F150" s="3">
        <f t="shared" si="42"/>
        <v>0.04</v>
      </c>
      <c r="G150" s="2">
        <f t="shared" si="43"/>
        <v>477.4153</v>
      </c>
      <c r="H150" s="2">
        <f t="shared" si="44"/>
        <v>264.03808079890166</v>
      </c>
      <c r="I150" s="2">
        <f t="shared" si="45"/>
        <v>213.37721920109834</v>
      </c>
      <c r="J150" s="2">
        <f t="shared" si="30"/>
        <v>78998.047020469399</v>
      </c>
      <c r="K150" s="2" t="e">
        <f t="shared" si="49"/>
        <v>#VALUE!</v>
      </c>
      <c r="L150" s="9">
        <v>1.6821425527395739E-3</v>
      </c>
      <c r="M150" s="2" t="e">
        <f t="shared" si="31"/>
        <v>#VALUE!</v>
      </c>
      <c r="N150" s="3">
        <f t="shared" si="32"/>
        <v>0.04</v>
      </c>
      <c r="O150" s="2" t="e">
        <f t="shared" si="33"/>
        <v>#VALUE!</v>
      </c>
      <c r="P150" s="10">
        <f t="shared" si="25"/>
        <v>0.78998047020469397</v>
      </c>
      <c r="Q150" s="13"/>
      <c r="R150" s="2" t="e">
        <f t="shared" si="46"/>
        <v>#VALUE!</v>
      </c>
      <c r="S150" s="2" t="e">
        <f t="shared" si="47"/>
        <v>#VALUE!</v>
      </c>
      <c r="T150" s="2" t="e">
        <f t="shared" ca="1" si="34"/>
        <v>#VALUE!</v>
      </c>
      <c r="U150" s="2" t="e">
        <f t="shared" si="48"/>
        <v>#VALUE!</v>
      </c>
      <c r="V150" s="2" t="e">
        <f t="shared" si="35"/>
        <v>#VALUE!</v>
      </c>
      <c r="W150" s="2">
        <f t="shared" si="36"/>
        <v>477.4153</v>
      </c>
      <c r="X150" s="2" t="e">
        <f t="shared" ca="1" si="37"/>
        <v>#VALUE!</v>
      </c>
      <c r="Y150" s="2" t="e">
        <f t="shared" ca="1" si="38"/>
        <v>#VALUE!</v>
      </c>
      <c r="Z150" s="10">
        <f t="shared" si="39"/>
        <v>0.67300197082322721</v>
      </c>
      <c r="AA150" s="10" t="e">
        <f t="shared" ca="1" si="26"/>
        <v>#VALUE!</v>
      </c>
      <c r="AB150" s="11" t="e">
        <f t="shared" si="40"/>
        <v>#VALUE!</v>
      </c>
      <c r="AC150" s="11" t="e">
        <f>SUM($S$31:S150)/$V$31</f>
        <v>#VALUE!</v>
      </c>
      <c r="AD150" s="11" t="e">
        <f>SUM($S$31:S150,$R$31:R150,$T$31:T150)/$V$31</f>
        <v>#VALUE!</v>
      </c>
      <c r="AE150" s="11" t="e">
        <f>SUM($M$31:M150)/$V$31</f>
        <v>#VALUE!</v>
      </c>
      <c r="AF150" s="11" t="e">
        <f ca="1">SUM(SUM($M$31:M150),-SUM($T$31:T150))/$V$31</f>
        <v>#VALUE!</v>
      </c>
      <c r="AG150">
        <f t="shared" si="27"/>
        <v>14280</v>
      </c>
    </row>
    <row r="151" spans="2:33" x14ac:dyDescent="0.15">
      <c r="B151" s="1">
        <f t="shared" si="41"/>
        <v>120</v>
      </c>
      <c r="C151" s="1">
        <f t="shared" si="28"/>
        <v>120</v>
      </c>
      <c r="D151" s="25">
        <v>3.7089623810666696E-2</v>
      </c>
      <c r="E151" s="2">
        <f t="shared" si="29"/>
        <v>78998.047020469399</v>
      </c>
      <c r="F151" s="3">
        <f t="shared" si="42"/>
        <v>0.04</v>
      </c>
      <c r="G151" s="2">
        <f t="shared" si="43"/>
        <v>477.4153</v>
      </c>
      <c r="H151" s="2">
        <f t="shared" si="44"/>
        <v>263.3268234015647</v>
      </c>
      <c r="I151" s="2">
        <f t="shared" si="45"/>
        <v>214.08847659843531</v>
      </c>
      <c r="J151" s="2">
        <f t="shared" si="30"/>
        <v>78783.958543870962</v>
      </c>
      <c r="K151" s="2" t="e">
        <f t="shared" si="49"/>
        <v>#VALUE!</v>
      </c>
      <c r="L151" s="9">
        <v>1.6821425527395739E-3</v>
      </c>
      <c r="M151" s="2" t="e">
        <f t="shared" si="31"/>
        <v>#VALUE!</v>
      </c>
      <c r="N151" s="3">
        <f t="shared" si="32"/>
        <v>0.04</v>
      </c>
      <c r="O151" s="2" t="e">
        <f t="shared" si="33"/>
        <v>#VALUE!</v>
      </c>
      <c r="P151" s="10">
        <f t="shared" si="25"/>
        <v>0.78783958543870958</v>
      </c>
      <c r="Q151" s="13"/>
      <c r="R151" s="2" t="e">
        <f t="shared" si="46"/>
        <v>#VALUE!</v>
      </c>
      <c r="S151" s="2" t="e">
        <f t="shared" si="47"/>
        <v>#VALUE!</v>
      </c>
      <c r="T151" s="2" t="e">
        <f t="shared" ca="1" si="34"/>
        <v>#VALUE!</v>
      </c>
      <c r="U151" s="2" t="e">
        <f t="shared" si="48"/>
        <v>#VALUE!</v>
      </c>
      <c r="V151" s="2" t="e">
        <f t="shared" si="35"/>
        <v>#VALUE!</v>
      </c>
      <c r="W151" s="2">
        <f t="shared" si="36"/>
        <v>477.4153</v>
      </c>
      <c r="X151" s="2" t="e">
        <f t="shared" ca="1" si="37"/>
        <v>#VALUE!</v>
      </c>
      <c r="Y151" s="2" t="e">
        <f t="shared" ca="1" si="38"/>
        <v>#VALUE!</v>
      </c>
      <c r="Z151" s="10">
        <f t="shared" si="39"/>
        <v>0.67076608387754266</v>
      </c>
      <c r="AA151" s="10" t="e">
        <f t="shared" ca="1" si="26"/>
        <v>#VALUE!</v>
      </c>
      <c r="AB151" s="11" t="e">
        <f t="shared" si="40"/>
        <v>#VALUE!</v>
      </c>
      <c r="AC151" s="11" t="e">
        <f>SUM($S$31:S151)/$V$31</f>
        <v>#VALUE!</v>
      </c>
      <c r="AD151" s="11" t="e">
        <f>SUM($S$31:S151,$R$31:R151,$T$31:T151)/$V$31</f>
        <v>#VALUE!</v>
      </c>
      <c r="AE151" s="11" t="e">
        <f>SUM($M$31:M151)/$V$31</f>
        <v>#VALUE!</v>
      </c>
      <c r="AF151" s="11" t="e">
        <f ca="1">SUM(SUM($M$31:M151),-SUM($T$31:T151))/$V$31</f>
        <v>#VALUE!</v>
      </c>
      <c r="AG151">
        <f t="shared" si="27"/>
        <v>14520</v>
      </c>
    </row>
    <row r="152" spans="2:33" x14ac:dyDescent="0.15">
      <c r="B152" s="1">
        <f t="shared" si="41"/>
        <v>121</v>
      </c>
      <c r="C152" s="1">
        <f t="shared" si="28"/>
        <v>121</v>
      </c>
      <c r="D152" s="25">
        <v>3.7192718932859602E-2</v>
      </c>
      <c r="E152" s="2">
        <f t="shared" si="29"/>
        <v>78783.958543870962</v>
      </c>
      <c r="F152" s="3">
        <f t="shared" si="42"/>
        <v>0.04</v>
      </c>
      <c r="G152" s="2">
        <f t="shared" si="43"/>
        <v>477.4153</v>
      </c>
      <c r="H152" s="2">
        <f t="shared" si="44"/>
        <v>262.61319514623654</v>
      </c>
      <c r="I152" s="2">
        <f t="shared" si="45"/>
        <v>214.80210485376347</v>
      </c>
      <c r="J152" s="2">
        <f t="shared" si="30"/>
        <v>78569.156439017199</v>
      </c>
      <c r="K152" s="2" t="e">
        <f t="shared" si="49"/>
        <v>#VALUE!</v>
      </c>
      <c r="L152" s="9">
        <v>1.6821425527395739E-3</v>
      </c>
      <c r="M152" s="2" t="e">
        <f t="shared" si="31"/>
        <v>#VALUE!</v>
      </c>
      <c r="N152" s="3">
        <f t="shared" si="32"/>
        <v>0.04</v>
      </c>
      <c r="O152" s="2" t="e">
        <f t="shared" si="33"/>
        <v>#VALUE!</v>
      </c>
      <c r="P152" s="10">
        <f t="shared" si="25"/>
        <v>0.78569156439017196</v>
      </c>
      <c r="Q152" s="13"/>
      <c r="R152" s="2" t="e">
        <f t="shared" si="46"/>
        <v>#VALUE!</v>
      </c>
      <c r="S152" s="2" t="e">
        <f t="shared" si="47"/>
        <v>#VALUE!</v>
      </c>
      <c r="T152" s="2" t="e">
        <f t="shared" ca="1" si="34"/>
        <v>#VALUE!</v>
      </c>
      <c r="U152" s="2" t="e">
        <f t="shared" si="48"/>
        <v>#VALUE!</v>
      </c>
      <c r="V152" s="2" t="e">
        <f t="shared" si="35"/>
        <v>#VALUE!</v>
      </c>
      <c r="W152" s="2">
        <f t="shared" si="36"/>
        <v>477.4153</v>
      </c>
      <c r="X152" s="2" t="e">
        <f t="shared" ca="1" si="37"/>
        <v>#VALUE!</v>
      </c>
      <c r="Y152" s="2" t="e">
        <f t="shared" ca="1" si="38"/>
        <v>#VALUE!</v>
      </c>
      <c r="Z152" s="10">
        <f t="shared" si="39"/>
        <v>0.66853762512768911</v>
      </c>
      <c r="AA152" s="10" t="e">
        <f t="shared" ca="1" si="26"/>
        <v>#VALUE!</v>
      </c>
      <c r="AB152" s="11" t="e">
        <f t="shared" si="40"/>
        <v>#VALUE!</v>
      </c>
      <c r="AC152" s="11" t="e">
        <f>SUM($S$31:S152)/$V$31</f>
        <v>#VALUE!</v>
      </c>
      <c r="AD152" s="11" t="e">
        <f>SUM($S$31:S152,$R$31:R152,$T$31:T152)/$V$31</f>
        <v>#VALUE!</v>
      </c>
      <c r="AE152" s="11" t="e">
        <f>SUM($M$31:M152)/$V$31</f>
        <v>#VALUE!</v>
      </c>
      <c r="AF152" s="11" t="e">
        <f ca="1">SUM(SUM($M$31:M152),-SUM($T$31:T152))/$V$31</f>
        <v>#VALUE!</v>
      </c>
      <c r="AG152">
        <f t="shared" si="27"/>
        <v>14762</v>
      </c>
    </row>
    <row r="153" spans="2:33" x14ac:dyDescent="0.15">
      <c r="B153" s="1">
        <f t="shared" si="41"/>
        <v>122</v>
      </c>
      <c r="C153" s="1">
        <f t="shared" si="28"/>
        <v>122</v>
      </c>
      <c r="D153" s="25">
        <v>3.7303048902573896E-2</v>
      </c>
      <c r="E153" s="2">
        <f t="shared" si="29"/>
        <v>78569.156439017199</v>
      </c>
      <c r="F153" s="3">
        <f t="shared" si="42"/>
        <v>0.04</v>
      </c>
      <c r="G153" s="2">
        <f t="shared" si="43"/>
        <v>477.4153</v>
      </c>
      <c r="H153" s="2">
        <f t="shared" si="44"/>
        <v>261.89718813005737</v>
      </c>
      <c r="I153" s="2">
        <f t="shared" si="45"/>
        <v>215.51811186994263</v>
      </c>
      <c r="J153" s="2">
        <f t="shared" si="30"/>
        <v>78353.638327147259</v>
      </c>
      <c r="K153" s="2" t="e">
        <f t="shared" si="49"/>
        <v>#VALUE!</v>
      </c>
      <c r="L153" s="9">
        <v>1.6821425527395739E-3</v>
      </c>
      <c r="M153" s="2" t="e">
        <f t="shared" si="31"/>
        <v>#VALUE!</v>
      </c>
      <c r="N153" s="3">
        <f t="shared" si="32"/>
        <v>0.04</v>
      </c>
      <c r="O153" s="2" t="e">
        <f t="shared" si="33"/>
        <v>#VALUE!</v>
      </c>
      <c r="P153" s="10">
        <f t="shared" si="25"/>
        <v>0.78353638327147257</v>
      </c>
      <c r="Q153" s="13"/>
      <c r="R153" s="2" t="e">
        <f t="shared" si="46"/>
        <v>#VALUE!</v>
      </c>
      <c r="S153" s="2" t="e">
        <f t="shared" si="47"/>
        <v>#VALUE!</v>
      </c>
      <c r="T153" s="2" t="e">
        <f t="shared" ca="1" si="34"/>
        <v>#VALUE!</v>
      </c>
      <c r="U153" s="2" t="e">
        <f t="shared" si="48"/>
        <v>#VALUE!</v>
      </c>
      <c r="V153" s="2" t="e">
        <f t="shared" si="35"/>
        <v>#VALUE!</v>
      </c>
      <c r="W153" s="2">
        <f t="shared" si="36"/>
        <v>477.4153</v>
      </c>
      <c r="X153" s="2" t="e">
        <f t="shared" ca="1" si="37"/>
        <v>#VALUE!</v>
      </c>
      <c r="Y153" s="2" t="e">
        <f t="shared" ca="1" si="38"/>
        <v>#VALUE!</v>
      </c>
      <c r="Z153" s="10">
        <f t="shared" si="39"/>
        <v>0.66631656989527499</v>
      </c>
      <c r="AA153" s="10" t="e">
        <f t="shared" ca="1" si="26"/>
        <v>#VALUE!</v>
      </c>
      <c r="AB153" s="11" t="e">
        <f t="shared" si="40"/>
        <v>#VALUE!</v>
      </c>
      <c r="AC153" s="11" t="e">
        <f>SUM($S$31:S153)/$V$31</f>
        <v>#VALUE!</v>
      </c>
      <c r="AD153" s="11" t="e">
        <f>SUM($S$31:S153,$R$31:R153,$T$31:T153)/$V$31</f>
        <v>#VALUE!</v>
      </c>
      <c r="AE153" s="11" t="e">
        <f>SUM($M$31:M153)/$V$31</f>
        <v>#VALUE!</v>
      </c>
      <c r="AF153" s="11" t="e">
        <f ca="1">SUM(SUM($M$31:M153),-SUM($T$31:T153))/$V$31</f>
        <v>#VALUE!</v>
      </c>
      <c r="AG153">
        <f t="shared" si="27"/>
        <v>15006</v>
      </c>
    </row>
    <row r="154" spans="2:33" x14ac:dyDescent="0.15">
      <c r="B154" s="1">
        <f t="shared" si="41"/>
        <v>123</v>
      </c>
      <c r="C154" s="1">
        <f t="shared" si="28"/>
        <v>123</v>
      </c>
      <c r="D154" s="25">
        <v>3.7405453891630996E-2</v>
      </c>
      <c r="E154" s="2">
        <f t="shared" si="29"/>
        <v>78353.638327147259</v>
      </c>
      <c r="F154" s="3">
        <f t="shared" si="42"/>
        <v>0.04</v>
      </c>
      <c r="G154" s="2">
        <f t="shared" si="43"/>
        <v>477.4153</v>
      </c>
      <c r="H154" s="2">
        <f t="shared" si="44"/>
        <v>261.17879442382423</v>
      </c>
      <c r="I154" s="2">
        <f t="shared" si="45"/>
        <v>216.23650557617577</v>
      </c>
      <c r="J154" s="2">
        <f t="shared" si="30"/>
        <v>78137.401821571082</v>
      </c>
      <c r="K154" s="2" t="e">
        <f t="shared" si="49"/>
        <v>#VALUE!</v>
      </c>
      <c r="L154" s="9">
        <v>1.6821425527395739E-3</v>
      </c>
      <c r="M154" s="2" t="e">
        <f t="shared" si="31"/>
        <v>#VALUE!</v>
      </c>
      <c r="N154" s="3">
        <f t="shared" si="32"/>
        <v>0.04</v>
      </c>
      <c r="O154" s="2" t="e">
        <f t="shared" si="33"/>
        <v>#VALUE!</v>
      </c>
      <c r="P154" s="10">
        <f t="shared" si="25"/>
        <v>0.78137401821571084</v>
      </c>
      <c r="Q154" s="13"/>
      <c r="R154" s="2" t="e">
        <f t="shared" si="46"/>
        <v>#VALUE!</v>
      </c>
      <c r="S154" s="2" t="e">
        <f t="shared" si="47"/>
        <v>#VALUE!</v>
      </c>
      <c r="T154" s="2" t="e">
        <f t="shared" ca="1" si="34"/>
        <v>#VALUE!</v>
      </c>
      <c r="U154" s="2" t="e">
        <f t="shared" si="48"/>
        <v>#VALUE!</v>
      </c>
      <c r="V154" s="2" t="e">
        <f t="shared" si="35"/>
        <v>#VALUE!</v>
      </c>
      <c r="W154" s="2">
        <f t="shared" si="36"/>
        <v>477.4153</v>
      </c>
      <c r="X154" s="2" t="e">
        <f t="shared" ca="1" si="37"/>
        <v>#VALUE!</v>
      </c>
      <c r="Y154" s="2" t="e">
        <f t="shared" ca="1" si="38"/>
        <v>#VALUE!</v>
      </c>
      <c r="Z154" s="10">
        <f t="shared" si="39"/>
        <v>0.66410289358389685</v>
      </c>
      <c r="AA154" s="10" t="e">
        <f t="shared" ca="1" si="26"/>
        <v>#VALUE!</v>
      </c>
      <c r="AB154" s="11" t="e">
        <f t="shared" si="40"/>
        <v>#VALUE!</v>
      </c>
      <c r="AC154" s="11" t="e">
        <f>SUM($S$31:S154)/$V$31</f>
        <v>#VALUE!</v>
      </c>
      <c r="AD154" s="11" t="e">
        <f>SUM($S$31:S154,$R$31:R154,$T$31:T154)/$V$31</f>
        <v>#VALUE!</v>
      </c>
      <c r="AE154" s="11" t="e">
        <f>SUM($M$31:M154)/$V$31</f>
        <v>#VALUE!</v>
      </c>
      <c r="AF154" s="11" t="e">
        <f ca="1">SUM(SUM($M$31:M154),-SUM($T$31:T154))/$V$31</f>
        <v>#VALUE!</v>
      </c>
      <c r="AG154">
        <f t="shared" si="27"/>
        <v>15252</v>
      </c>
    </row>
    <row r="155" spans="2:33" x14ac:dyDescent="0.15">
      <c r="B155" s="1">
        <f t="shared" si="41"/>
        <v>124</v>
      </c>
      <c r="C155" s="1">
        <f t="shared" si="28"/>
        <v>124</v>
      </c>
      <c r="D155" s="25">
        <v>3.75079784331072E-2</v>
      </c>
      <c r="E155" s="2">
        <f t="shared" si="29"/>
        <v>78137.401821571082</v>
      </c>
      <c r="F155" s="3">
        <f t="shared" si="42"/>
        <v>0.04</v>
      </c>
      <c r="G155" s="2">
        <f t="shared" si="43"/>
        <v>477.4153</v>
      </c>
      <c r="H155" s="2">
        <f t="shared" si="44"/>
        <v>260.45800607190364</v>
      </c>
      <c r="I155" s="2">
        <f t="shared" si="45"/>
        <v>216.95729392809636</v>
      </c>
      <c r="J155" s="2">
        <f t="shared" si="30"/>
        <v>77920.444527642991</v>
      </c>
      <c r="K155" s="2" t="e">
        <f t="shared" si="49"/>
        <v>#VALUE!</v>
      </c>
      <c r="L155" s="9">
        <v>1.6821425527395739E-3</v>
      </c>
      <c r="M155" s="2" t="e">
        <f t="shared" si="31"/>
        <v>#VALUE!</v>
      </c>
      <c r="N155" s="3">
        <f t="shared" si="32"/>
        <v>0.04</v>
      </c>
      <c r="O155" s="2" t="e">
        <f t="shared" si="33"/>
        <v>#VALUE!</v>
      </c>
      <c r="P155" s="10">
        <f t="shared" si="25"/>
        <v>0.77920444527642996</v>
      </c>
      <c r="Q155" s="13"/>
      <c r="R155" s="2" t="e">
        <f t="shared" si="46"/>
        <v>#VALUE!</v>
      </c>
      <c r="S155" s="2" t="e">
        <f t="shared" si="47"/>
        <v>#VALUE!</v>
      </c>
      <c r="T155" s="2" t="e">
        <f t="shared" ca="1" si="34"/>
        <v>#VALUE!</v>
      </c>
      <c r="U155" s="2" t="e">
        <f t="shared" si="48"/>
        <v>#VALUE!</v>
      </c>
      <c r="V155" s="2" t="e">
        <f t="shared" si="35"/>
        <v>#VALUE!</v>
      </c>
      <c r="W155" s="2">
        <f t="shared" si="36"/>
        <v>477.4153</v>
      </c>
      <c r="X155" s="2" t="e">
        <f t="shared" ca="1" si="37"/>
        <v>#VALUE!</v>
      </c>
      <c r="Y155" s="2" t="e">
        <f t="shared" ca="1" si="38"/>
        <v>#VALUE!</v>
      </c>
      <c r="Z155" s="10">
        <f t="shared" si="39"/>
        <v>0.66189657167886717</v>
      </c>
      <c r="AA155" s="10" t="e">
        <f t="shared" ca="1" si="26"/>
        <v>#VALUE!</v>
      </c>
      <c r="AB155" s="11" t="e">
        <f t="shared" si="40"/>
        <v>#VALUE!</v>
      </c>
      <c r="AC155" s="11" t="e">
        <f>SUM($S$31:S155)/$V$31</f>
        <v>#VALUE!</v>
      </c>
      <c r="AD155" s="11" t="e">
        <f>SUM($S$31:S155,$R$31:R155,$T$31:T155)/$V$31</f>
        <v>#VALUE!</v>
      </c>
      <c r="AE155" s="11" t="e">
        <f>SUM($M$31:M155)/$V$31</f>
        <v>#VALUE!</v>
      </c>
      <c r="AF155" s="11" t="e">
        <f ca="1">SUM(SUM($M$31:M155),-SUM($T$31:T155))/$V$31</f>
        <v>#VALUE!</v>
      </c>
      <c r="AG155">
        <f t="shared" si="27"/>
        <v>15500</v>
      </c>
    </row>
    <row r="156" spans="2:33" x14ac:dyDescent="0.15">
      <c r="B156" s="1">
        <f t="shared" si="41"/>
        <v>125</v>
      </c>
      <c r="C156" s="1">
        <f t="shared" si="28"/>
        <v>125</v>
      </c>
      <c r="D156" s="25">
        <v>3.7602791866114198E-2</v>
      </c>
      <c r="E156" s="2">
        <f t="shared" si="29"/>
        <v>77920.444527642991</v>
      </c>
      <c r="F156" s="3">
        <f t="shared" si="42"/>
        <v>0.04</v>
      </c>
      <c r="G156" s="2">
        <f t="shared" si="43"/>
        <v>477.4153</v>
      </c>
      <c r="H156" s="2">
        <f t="shared" si="44"/>
        <v>259.73481509214332</v>
      </c>
      <c r="I156" s="2">
        <f t="shared" si="45"/>
        <v>217.68048490785668</v>
      </c>
      <c r="J156" s="2">
        <f t="shared" si="30"/>
        <v>77702.764042735129</v>
      </c>
      <c r="K156" s="2" t="e">
        <f t="shared" si="49"/>
        <v>#VALUE!</v>
      </c>
      <c r="L156" s="9">
        <v>1.6821425527395739E-3</v>
      </c>
      <c r="M156" s="2" t="e">
        <f t="shared" si="31"/>
        <v>#VALUE!</v>
      </c>
      <c r="N156" s="3">
        <f t="shared" si="32"/>
        <v>0.04</v>
      </c>
      <c r="O156" s="2" t="e">
        <f t="shared" si="33"/>
        <v>#VALUE!</v>
      </c>
      <c r="P156" s="10">
        <f t="shared" si="25"/>
        <v>0.77702764042735128</v>
      </c>
      <c r="Q156" s="13"/>
      <c r="R156" s="2" t="e">
        <f t="shared" si="46"/>
        <v>#VALUE!</v>
      </c>
      <c r="S156" s="2" t="e">
        <f t="shared" si="47"/>
        <v>#VALUE!</v>
      </c>
      <c r="T156" s="2" t="e">
        <f t="shared" ca="1" si="34"/>
        <v>#VALUE!</v>
      </c>
      <c r="U156" s="2" t="e">
        <f t="shared" si="48"/>
        <v>#VALUE!</v>
      </c>
      <c r="V156" s="2" t="e">
        <f t="shared" si="35"/>
        <v>#VALUE!</v>
      </c>
      <c r="W156" s="2">
        <f t="shared" si="36"/>
        <v>477.4153</v>
      </c>
      <c r="X156" s="2" t="e">
        <f t="shared" ca="1" si="37"/>
        <v>#VALUE!</v>
      </c>
      <c r="Y156" s="2" t="e">
        <f t="shared" ca="1" si="38"/>
        <v>#VALUE!</v>
      </c>
      <c r="Z156" s="10">
        <f t="shared" si="39"/>
        <v>0.65969757974694188</v>
      </c>
      <c r="AA156" s="10" t="e">
        <f t="shared" ca="1" si="26"/>
        <v>#VALUE!</v>
      </c>
      <c r="AB156" s="11" t="e">
        <f t="shared" si="40"/>
        <v>#VALUE!</v>
      </c>
      <c r="AC156" s="11" t="e">
        <f>SUM($S$31:S156)/$V$31</f>
        <v>#VALUE!</v>
      </c>
      <c r="AD156" s="11" t="e">
        <f>SUM($S$31:S156,$R$31:R156,$T$31:T156)/$V$31</f>
        <v>#VALUE!</v>
      </c>
      <c r="AE156" s="11" t="e">
        <f>SUM($M$31:M156)/$V$31</f>
        <v>#VALUE!</v>
      </c>
      <c r="AF156" s="11" t="e">
        <f ca="1">SUM(SUM($M$31:M156),-SUM($T$31:T156))/$V$31</f>
        <v>#VALUE!</v>
      </c>
      <c r="AG156">
        <f t="shared" si="27"/>
        <v>15750</v>
      </c>
    </row>
    <row r="157" spans="2:33" x14ac:dyDescent="0.15">
      <c r="B157" s="1">
        <f t="shared" si="41"/>
        <v>126</v>
      </c>
      <c r="C157" s="1">
        <f t="shared" si="28"/>
        <v>126</v>
      </c>
      <c r="D157" s="25">
        <v>3.7697765939138102E-2</v>
      </c>
      <c r="E157" s="2">
        <f t="shared" si="29"/>
        <v>77702.764042735129</v>
      </c>
      <c r="F157" s="3">
        <f t="shared" si="42"/>
        <v>0.04</v>
      </c>
      <c r="G157" s="2">
        <f t="shared" si="43"/>
        <v>477.4153</v>
      </c>
      <c r="H157" s="2">
        <f t="shared" si="44"/>
        <v>259.00921347578378</v>
      </c>
      <c r="I157" s="2">
        <f t="shared" si="45"/>
        <v>218.40608652421622</v>
      </c>
      <c r="J157" s="2">
        <f t="shared" si="30"/>
        <v>77484.357956210908</v>
      </c>
      <c r="K157" s="2" t="e">
        <f t="shared" si="49"/>
        <v>#VALUE!</v>
      </c>
      <c r="L157" s="9">
        <v>1.6821425527395739E-3</v>
      </c>
      <c r="M157" s="2" t="e">
        <f t="shared" si="31"/>
        <v>#VALUE!</v>
      </c>
      <c r="N157" s="3">
        <f t="shared" si="32"/>
        <v>0.04</v>
      </c>
      <c r="O157" s="2" t="e">
        <f t="shared" si="33"/>
        <v>#VALUE!</v>
      </c>
      <c r="P157" s="10">
        <f t="shared" si="25"/>
        <v>0.77484357956210903</v>
      </c>
      <c r="Q157" s="13"/>
      <c r="R157" s="2" t="e">
        <f t="shared" si="46"/>
        <v>#VALUE!</v>
      </c>
      <c r="S157" s="2" t="e">
        <f t="shared" si="47"/>
        <v>#VALUE!</v>
      </c>
      <c r="T157" s="2" t="e">
        <f t="shared" ca="1" si="34"/>
        <v>#VALUE!</v>
      </c>
      <c r="U157" s="2" t="e">
        <f t="shared" si="48"/>
        <v>#VALUE!</v>
      </c>
      <c r="V157" s="2" t="e">
        <f t="shared" si="35"/>
        <v>#VALUE!</v>
      </c>
      <c r="W157" s="2">
        <f t="shared" si="36"/>
        <v>477.4153</v>
      </c>
      <c r="X157" s="2" t="e">
        <f t="shared" ca="1" si="37"/>
        <v>#VALUE!</v>
      </c>
      <c r="Y157" s="2" t="e">
        <f t="shared" ca="1" si="38"/>
        <v>#VALUE!</v>
      </c>
      <c r="Z157" s="10">
        <f t="shared" si="39"/>
        <v>0.6575058934360507</v>
      </c>
      <c r="AA157" s="10" t="e">
        <f t="shared" ca="1" si="26"/>
        <v>#VALUE!</v>
      </c>
      <c r="AB157" s="11" t="e">
        <f t="shared" si="40"/>
        <v>#VALUE!</v>
      </c>
      <c r="AC157" s="11" t="e">
        <f>SUM($S$31:S157)/$V$31</f>
        <v>#VALUE!</v>
      </c>
      <c r="AD157" s="11" t="e">
        <f>SUM($S$31:S157,$R$31:R157,$T$31:T157)/$V$31</f>
        <v>#VALUE!</v>
      </c>
      <c r="AE157" s="11" t="e">
        <f>SUM($M$31:M157)/$V$31</f>
        <v>#VALUE!</v>
      </c>
      <c r="AF157" s="11" t="e">
        <f ca="1">SUM(SUM($M$31:M157),-SUM($T$31:T157))/$V$31</f>
        <v>#VALUE!</v>
      </c>
      <c r="AG157">
        <f t="shared" si="27"/>
        <v>16002</v>
      </c>
    </row>
    <row r="158" spans="2:33" x14ac:dyDescent="0.15">
      <c r="B158" s="1">
        <f t="shared" si="41"/>
        <v>127</v>
      </c>
      <c r="C158" s="1">
        <f t="shared" si="28"/>
        <v>127</v>
      </c>
      <c r="D158" s="25">
        <v>3.7788412205177702E-2</v>
      </c>
      <c r="E158" s="2">
        <f t="shared" si="29"/>
        <v>77484.357956210908</v>
      </c>
      <c r="F158" s="3">
        <f t="shared" si="42"/>
        <v>0.04</v>
      </c>
      <c r="G158" s="2">
        <f t="shared" si="43"/>
        <v>477.4153</v>
      </c>
      <c r="H158" s="2">
        <f t="shared" si="44"/>
        <v>258.28119318736969</v>
      </c>
      <c r="I158" s="2">
        <f t="shared" si="45"/>
        <v>219.13410681263031</v>
      </c>
      <c r="J158" s="2">
        <f t="shared" si="30"/>
        <v>77265.223849398273</v>
      </c>
      <c r="K158" s="2" t="e">
        <f t="shared" si="49"/>
        <v>#VALUE!</v>
      </c>
      <c r="L158" s="9">
        <v>1.6821425527395739E-3</v>
      </c>
      <c r="M158" s="2" t="e">
        <f t="shared" si="31"/>
        <v>#VALUE!</v>
      </c>
      <c r="N158" s="3">
        <f t="shared" si="32"/>
        <v>0.04</v>
      </c>
      <c r="O158" s="2" t="e">
        <f t="shared" si="33"/>
        <v>#VALUE!</v>
      </c>
      <c r="P158" s="10">
        <f t="shared" si="25"/>
        <v>0.77265223849398268</v>
      </c>
      <c r="Q158" s="13"/>
      <c r="R158" s="2" t="e">
        <f t="shared" si="46"/>
        <v>#VALUE!</v>
      </c>
      <c r="S158" s="2" t="e">
        <f t="shared" si="47"/>
        <v>#VALUE!</v>
      </c>
      <c r="T158" s="2" t="e">
        <f t="shared" ca="1" si="34"/>
        <v>#VALUE!</v>
      </c>
      <c r="U158" s="2" t="e">
        <f t="shared" si="48"/>
        <v>#VALUE!</v>
      </c>
      <c r="V158" s="2" t="e">
        <f t="shared" si="35"/>
        <v>#VALUE!</v>
      </c>
      <c r="W158" s="2">
        <f t="shared" si="36"/>
        <v>477.4153</v>
      </c>
      <c r="X158" s="2" t="e">
        <f t="shared" ca="1" si="37"/>
        <v>#VALUE!</v>
      </c>
      <c r="Y158" s="2" t="e">
        <f t="shared" ca="1" si="38"/>
        <v>#VALUE!</v>
      </c>
      <c r="Z158" s="10">
        <f t="shared" si="39"/>
        <v>0.65532148847502825</v>
      </c>
      <c r="AA158" s="10" t="e">
        <f t="shared" ca="1" si="26"/>
        <v>#VALUE!</v>
      </c>
      <c r="AB158" s="11" t="e">
        <f t="shared" si="40"/>
        <v>#VALUE!</v>
      </c>
      <c r="AC158" s="11" t="e">
        <f>SUM($S$31:S158)/$V$31</f>
        <v>#VALUE!</v>
      </c>
      <c r="AD158" s="11" t="e">
        <f>SUM($S$31:S158,$R$31:R158,$T$31:T158)/$V$31</f>
        <v>#VALUE!</v>
      </c>
      <c r="AE158" s="11" t="e">
        <f>SUM($M$31:M158)/$V$31</f>
        <v>#VALUE!</v>
      </c>
      <c r="AF158" s="11" t="e">
        <f ca="1">SUM(SUM($M$31:M158),-SUM($T$31:T158))/$V$31</f>
        <v>#VALUE!</v>
      </c>
      <c r="AG158">
        <f t="shared" si="27"/>
        <v>16256</v>
      </c>
    </row>
    <row r="159" spans="2:33" x14ac:dyDescent="0.15">
      <c r="B159" s="1">
        <f t="shared" si="41"/>
        <v>128</v>
      </c>
      <c r="C159" s="1">
        <f t="shared" si="28"/>
        <v>128</v>
      </c>
      <c r="D159" s="25">
        <v>3.7871778195461697E-2</v>
      </c>
      <c r="E159" s="2">
        <f t="shared" si="29"/>
        <v>77265.223849398273</v>
      </c>
      <c r="F159" s="3">
        <f t="shared" si="42"/>
        <v>0.04</v>
      </c>
      <c r="G159" s="2">
        <f t="shared" si="43"/>
        <v>477.4153</v>
      </c>
      <c r="H159" s="2">
        <f t="shared" si="44"/>
        <v>257.55074616466095</v>
      </c>
      <c r="I159" s="2">
        <f t="shared" si="45"/>
        <v>219.86455383533905</v>
      </c>
      <c r="J159" s="2">
        <f t="shared" si="30"/>
        <v>77045.359295562928</v>
      </c>
      <c r="K159" s="2" t="e">
        <f t="shared" si="49"/>
        <v>#VALUE!</v>
      </c>
      <c r="L159" s="9">
        <v>1.6821425527395739E-3</v>
      </c>
      <c r="M159" s="2" t="e">
        <f t="shared" si="31"/>
        <v>#VALUE!</v>
      </c>
      <c r="N159" s="3">
        <f t="shared" si="32"/>
        <v>0.04</v>
      </c>
      <c r="O159" s="2" t="e">
        <f t="shared" si="33"/>
        <v>#VALUE!</v>
      </c>
      <c r="P159" s="10">
        <f t="shared" ref="P159:P222" si="50">J159/$J$31</f>
        <v>0.77045359295562932</v>
      </c>
      <c r="Q159" s="13"/>
      <c r="R159" s="2" t="e">
        <f t="shared" si="46"/>
        <v>#VALUE!</v>
      </c>
      <c r="S159" s="2" t="e">
        <f t="shared" si="47"/>
        <v>#VALUE!</v>
      </c>
      <c r="T159" s="2" t="e">
        <f t="shared" ca="1" si="34"/>
        <v>#VALUE!</v>
      </c>
      <c r="U159" s="2" t="e">
        <f t="shared" si="48"/>
        <v>#VALUE!</v>
      </c>
      <c r="V159" s="2" t="e">
        <f t="shared" si="35"/>
        <v>#VALUE!</v>
      </c>
      <c r="W159" s="2">
        <f t="shared" si="36"/>
        <v>477.4153</v>
      </c>
      <c r="X159" s="2" t="e">
        <f t="shared" ca="1" si="37"/>
        <v>#VALUE!</v>
      </c>
      <c r="Y159" s="2" t="e">
        <f t="shared" ca="1" si="38"/>
        <v>#VALUE!</v>
      </c>
      <c r="Z159" s="10">
        <f t="shared" si="39"/>
        <v>0.65314434067334259</v>
      </c>
      <c r="AA159" s="10" t="e">
        <f t="shared" ref="AA159:AA222" ca="1" si="51">1/((1+$Y$4/12)^B159)</f>
        <v>#VALUE!</v>
      </c>
      <c r="AB159" s="11" t="e">
        <f t="shared" si="40"/>
        <v>#VALUE!</v>
      </c>
      <c r="AC159" s="11" t="e">
        <f>SUM($S$31:S159)/$V$31</f>
        <v>#VALUE!</v>
      </c>
      <c r="AD159" s="11" t="e">
        <f>SUM($S$31:S159,$R$31:R159,$T$31:T159)/$V$31</f>
        <v>#VALUE!</v>
      </c>
      <c r="AE159" s="11" t="e">
        <f>SUM($M$31:M159)/$V$31</f>
        <v>#VALUE!</v>
      </c>
      <c r="AF159" s="11" t="e">
        <f ca="1">SUM(SUM($M$31:M159),-SUM($T$31:T159))/$V$31</f>
        <v>#VALUE!</v>
      </c>
      <c r="AG159">
        <f t="shared" ref="AG159:AG222" si="52">B159^2+B159</f>
        <v>16512</v>
      </c>
    </row>
    <row r="160" spans="2:33" x14ac:dyDescent="0.15">
      <c r="B160" s="1">
        <f t="shared" si="41"/>
        <v>129</v>
      </c>
      <c r="C160" s="1">
        <f t="shared" ref="C160:C223" si="53">B160+($E$4-$F$4)</f>
        <v>129</v>
      </c>
      <c r="D160" s="25">
        <v>3.7955361178574003E-2</v>
      </c>
      <c r="E160" s="2">
        <f t="shared" ref="E160:E223" si="54">J159</f>
        <v>77045.359295562928</v>
      </c>
      <c r="F160" s="3">
        <f t="shared" si="42"/>
        <v>0.04</v>
      </c>
      <c r="G160" s="2">
        <f t="shared" si="43"/>
        <v>477.4153</v>
      </c>
      <c r="H160" s="2">
        <f t="shared" si="44"/>
        <v>256.81786431854312</v>
      </c>
      <c r="I160" s="2">
        <f t="shared" si="45"/>
        <v>220.59743568145689</v>
      </c>
      <c r="J160" s="2">
        <f t="shared" ref="J160:J223" si="55">E160-I160</f>
        <v>76824.761859881473</v>
      </c>
      <c r="K160" s="2" t="e">
        <f t="shared" si="49"/>
        <v>#VALUE!</v>
      </c>
      <c r="L160" s="9">
        <v>1.6821425527395739E-3</v>
      </c>
      <c r="M160" s="2" t="e">
        <f t="shared" ref="M160:M223" si="56">L160*K160</f>
        <v>#VALUE!</v>
      </c>
      <c r="N160" s="3">
        <f t="shared" ref="N160:N223" si="57">F160</f>
        <v>0.04</v>
      </c>
      <c r="O160" s="2" t="e">
        <f t="shared" ref="O160:O223" si="58">(K160-M160)*N160/12</f>
        <v>#VALUE!</v>
      </c>
      <c r="P160" s="10">
        <f t="shared" si="50"/>
        <v>0.76824761859881474</v>
      </c>
      <c r="Q160" s="13"/>
      <c r="R160" s="2" t="e">
        <f t="shared" si="46"/>
        <v>#VALUE!</v>
      </c>
      <c r="S160" s="2" t="e">
        <f t="shared" si="47"/>
        <v>#VALUE!</v>
      </c>
      <c r="T160" s="2" t="e">
        <f t="shared" ref="T160:T223" ca="1" si="59">IF(B160&gt;=$S$4,OFFSET(M160,-$S$4,0)*$R$4,0)</f>
        <v>#VALUE!</v>
      </c>
      <c r="U160" s="2" t="e">
        <f t="shared" si="48"/>
        <v>#VALUE!</v>
      </c>
      <c r="V160" s="2" t="e">
        <f t="shared" ref="V160:V223" si="60">K160-M160-R160-S160</f>
        <v>#VALUE!</v>
      </c>
      <c r="W160" s="2">
        <f t="shared" ref="W160:W223" si="61">H160+I160</f>
        <v>477.4153</v>
      </c>
      <c r="X160" s="2" t="e">
        <f t="shared" ref="X160:X223" ca="1" si="62">S160+T160</f>
        <v>#VALUE!</v>
      </c>
      <c r="Y160" s="2" t="e">
        <f t="shared" ref="Y160:Y223" ca="1" si="63">O160+R160+S160+T160</f>
        <v>#VALUE!</v>
      </c>
      <c r="Z160" s="10">
        <f t="shared" ref="Z160:Z223" si="64">1/((1+$X$4/12)^B160)</f>
        <v>0.65097442592083021</v>
      </c>
      <c r="AA160" s="10" t="e">
        <f t="shared" ca="1" si="51"/>
        <v>#VALUE!</v>
      </c>
      <c r="AB160" s="11" t="e">
        <f t="shared" ref="AB160:AB223" si="65">V160/$V$31</f>
        <v>#VALUE!</v>
      </c>
      <c r="AC160" s="11" t="e">
        <f>SUM($S$31:S160)/$V$31</f>
        <v>#VALUE!</v>
      </c>
      <c r="AD160" s="11" t="e">
        <f>SUM($S$31:S160,$R$31:R160,$T$31:T160)/$V$31</f>
        <v>#VALUE!</v>
      </c>
      <c r="AE160" s="11" t="e">
        <f>SUM($M$31:M160)/$V$31</f>
        <v>#VALUE!</v>
      </c>
      <c r="AF160" s="11" t="e">
        <f ca="1">SUM(SUM($M$31:M160),-SUM($T$31:T160))/$V$31</f>
        <v>#VALUE!</v>
      </c>
      <c r="AG160">
        <f t="shared" si="52"/>
        <v>16770</v>
      </c>
    </row>
    <row r="161" spans="2:33" x14ac:dyDescent="0.15">
      <c r="B161" s="1">
        <f t="shared" ref="B161:B224" si="66">B160+1</f>
        <v>130</v>
      </c>
      <c r="C161" s="1">
        <f t="shared" si="53"/>
        <v>130</v>
      </c>
      <c r="D161" s="25">
        <v>3.8031138496726201E-2</v>
      </c>
      <c r="E161" s="2">
        <f t="shared" si="54"/>
        <v>76824.761859881473</v>
      </c>
      <c r="F161" s="3">
        <f t="shared" ref="F161:F224" si="67">MIN(MAX(IF($G$4="Fixed",0,D161)+$H$4,F160-$J$4,$M$4),F160+$K$4,$L$4)</f>
        <v>0.04</v>
      </c>
      <c r="G161" s="2">
        <f t="shared" ref="G161:G224" si="68">IF(C161&lt;=$E$4,MIN(ROUND((E161*(F161/12)*(1+F161/12)^($E$4-C160))/((1+F161/12)^($E$4-C160)-1),4),E161+H161),0)</f>
        <v>477.4153</v>
      </c>
      <c r="H161" s="2">
        <f t="shared" ref="H161:H224" si="69">F161/12*E161</f>
        <v>256.08253953293826</v>
      </c>
      <c r="I161" s="2">
        <f t="shared" ref="I161:I224" si="70">G161-H161</f>
        <v>221.33276046706175</v>
      </c>
      <c r="J161" s="2">
        <f t="shared" si="55"/>
        <v>76603.42909941441</v>
      </c>
      <c r="K161" s="2" t="e">
        <f t="shared" si="49"/>
        <v>#VALUE!</v>
      </c>
      <c r="L161" s="9">
        <v>1.6821425527395739E-3</v>
      </c>
      <c r="M161" s="2" t="e">
        <f t="shared" si="56"/>
        <v>#VALUE!</v>
      </c>
      <c r="N161" s="3">
        <f t="shared" si="57"/>
        <v>0.04</v>
      </c>
      <c r="O161" s="2" t="e">
        <f t="shared" si="58"/>
        <v>#VALUE!</v>
      </c>
      <c r="P161" s="10">
        <f t="shared" si="50"/>
        <v>0.76603429099414411</v>
      </c>
      <c r="Q161" s="13"/>
      <c r="R161" s="2" t="e">
        <f t="shared" ref="R161:R224" si="71">IF(C161&lt;=$E$4,(K161-M161)*P161/P160*Q161,0)</f>
        <v>#VALUE!</v>
      </c>
      <c r="S161" s="2" t="e">
        <f t="shared" ref="S161:S224" si="72">IF(C161&lt;=$E$4,(K161-M161)*(1-P161/P160),0)</f>
        <v>#VALUE!</v>
      </c>
      <c r="T161" s="2" t="e">
        <f t="shared" ca="1" si="59"/>
        <v>#VALUE!</v>
      </c>
      <c r="U161" s="2" t="e">
        <f t="shared" ref="U161:U224" si="73">R161+S161</f>
        <v>#VALUE!</v>
      </c>
      <c r="V161" s="2" t="e">
        <f t="shared" si="60"/>
        <v>#VALUE!</v>
      </c>
      <c r="W161" s="2">
        <f t="shared" si="61"/>
        <v>477.4153</v>
      </c>
      <c r="X161" s="2" t="e">
        <f t="shared" ca="1" si="62"/>
        <v>#VALUE!</v>
      </c>
      <c r="Y161" s="2" t="e">
        <f t="shared" ca="1" si="63"/>
        <v>#VALUE!</v>
      </c>
      <c r="Z161" s="10">
        <f t="shared" si="64"/>
        <v>0.64881172018742728</v>
      </c>
      <c r="AA161" s="10" t="e">
        <f t="shared" ca="1" si="51"/>
        <v>#VALUE!</v>
      </c>
      <c r="AB161" s="11" t="e">
        <f t="shared" si="65"/>
        <v>#VALUE!</v>
      </c>
      <c r="AC161" s="11" t="e">
        <f>SUM($S$31:S161)/$V$31</f>
        <v>#VALUE!</v>
      </c>
      <c r="AD161" s="11" t="e">
        <f>SUM($S$31:S161,$R$31:R161,$T$31:T161)/$V$31</f>
        <v>#VALUE!</v>
      </c>
      <c r="AE161" s="11" t="e">
        <f>SUM($M$31:M161)/$V$31</f>
        <v>#VALUE!</v>
      </c>
      <c r="AF161" s="11" t="e">
        <f ca="1">SUM(SUM($M$31:M161),-SUM($T$31:T161))/$V$31</f>
        <v>#VALUE!</v>
      </c>
      <c r="AG161">
        <f t="shared" si="52"/>
        <v>17030</v>
      </c>
    </row>
    <row r="162" spans="2:33" x14ac:dyDescent="0.15">
      <c r="B162" s="1">
        <f t="shared" si="66"/>
        <v>131</v>
      </c>
      <c r="C162" s="1">
        <f t="shared" si="53"/>
        <v>131</v>
      </c>
      <c r="D162" s="25">
        <v>3.8107166382829204E-2</v>
      </c>
      <c r="E162" s="2">
        <f t="shared" si="54"/>
        <v>76603.42909941441</v>
      </c>
      <c r="F162" s="3">
        <f t="shared" si="67"/>
        <v>0.04</v>
      </c>
      <c r="G162" s="2">
        <f t="shared" si="68"/>
        <v>477.4153</v>
      </c>
      <c r="H162" s="2">
        <f t="shared" si="69"/>
        <v>255.34476366471472</v>
      </c>
      <c r="I162" s="2">
        <f t="shared" si="70"/>
        <v>222.07053633528528</v>
      </c>
      <c r="J162" s="2">
        <f t="shared" si="55"/>
        <v>76381.35856307912</v>
      </c>
      <c r="K162" s="2" t="e">
        <f t="shared" ref="K162:K225" si="74">V161</f>
        <v>#VALUE!</v>
      </c>
      <c r="L162" s="9">
        <v>1.6821425527395739E-3</v>
      </c>
      <c r="M162" s="2" t="e">
        <f t="shared" si="56"/>
        <v>#VALUE!</v>
      </c>
      <c r="N162" s="3">
        <f t="shared" si="57"/>
        <v>0.04</v>
      </c>
      <c r="O162" s="2" t="e">
        <f t="shared" si="58"/>
        <v>#VALUE!</v>
      </c>
      <c r="P162" s="10">
        <f t="shared" si="50"/>
        <v>0.76381358563079116</v>
      </c>
      <c r="Q162" s="13"/>
      <c r="R162" s="2" t="e">
        <f t="shared" si="71"/>
        <v>#VALUE!</v>
      </c>
      <c r="S162" s="2" t="e">
        <f t="shared" si="72"/>
        <v>#VALUE!</v>
      </c>
      <c r="T162" s="2" t="e">
        <f t="shared" ca="1" si="59"/>
        <v>#VALUE!</v>
      </c>
      <c r="U162" s="2" t="e">
        <f t="shared" si="73"/>
        <v>#VALUE!</v>
      </c>
      <c r="V162" s="2" t="e">
        <f t="shared" si="60"/>
        <v>#VALUE!</v>
      </c>
      <c r="W162" s="2">
        <f t="shared" si="61"/>
        <v>477.4153</v>
      </c>
      <c r="X162" s="2" t="e">
        <f t="shared" ca="1" si="62"/>
        <v>#VALUE!</v>
      </c>
      <c r="Y162" s="2" t="e">
        <f t="shared" ca="1" si="63"/>
        <v>#VALUE!</v>
      </c>
      <c r="Z162" s="10">
        <f t="shared" si="64"/>
        <v>0.64665619952290421</v>
      </c>
      <c r="AA162" s="10" t="e">
        <f t="shared" ca="1" si="51"/>
        <v>#VALUE!</v>
      </c>
      <c r="AB162" s="11" t="e">
        <f t="shared" si="65"/>
        <v>#VALUE!</v>
      </c>
      <c r="AC162" s="11" t="e">
        <f>SUM($S$31:S162)/$V$31</f>
        <v>#VALUE!</v>
      </c>
      <c r="AD162" s="11" t="e">
        <f>SUM($S$31:S162,$R$31:R162,$T$31:T162)/$V$31</f>
        <v>#VALUE!</v>
      </c>
      <c r="AE162" s="11" t="e">
        <f>SUM($M$31:M162)/$V$31</f>
        <v>#VALUE!</v>
      </c>
      <c r="AF162" s="11" t="e">
        <f ca="1">SUM(SUM($M$31:M162),-SUM($T$31:T162))/$V$31</f>
        <v>#VALUE!</v>
      </c>
      <c r="AG162">
        <f t="shared" si="52"/>
        <v>17292</v>
      </c>
    </row>
    <row r="163" spans="2:33" x14ac:dyDescent="0.15">
      <c r="B163" s="1">
        <f t="shared" si="66"/>
        <v>132</v>
      </c>
      <c r="C163" s="1">
        <f t="shared" si="53"/>
        <v>132</v>
      </c>
      <c r="D163" s="25">
        <v>3.8178509546496098E-2</v>
      </c>
      <c r="E163" s="2">
        <f t="shared" si="54"/>
        <v>76381.35856307912</v>
      </c>
      <c r="F163" s="3">
        <f t="shared" si="67"/>
        <v>0.04</v>
      </c>
      <c r="G163" s="2">
        <f t="shared" si="68"/>
        <v>477.4153</v>
      </c>
      <c r="H163" s="2">
        <f t="shared" si="69"/>
        <v>254.6045285435971</v>
      </c>
      <c r="I163" s="2">
        <f t="shared" si="70"/>
        <v>222.8107714564029</v>
      </c>
      <c r="J163" s="2">
        <f t="shared" si="55"/>
        <v>76158.547791622725</v>
      </c>
      <c r="K163" s="2" t="e">
        <f t="shared" si="74"/>
        <v>#VALUE!</v>
      </c>
      <c r="L163" s="9">
        <v>1.6821425527395739E-3</v>
      </c>
      <c r="M163" s="2" t="e">
        <f t="shared" si="56"/>
        <v>#VALUE!</v>
      </c>
      <c r="N163" s="3">
        <f t="shared" si="57"/>
        <v>0.04</v>
      </c>
      <c r="O163" s="2" t="e">
        <f t="shared" si="58"/>
        <v>#VALUE!</v>
      </c>
      <c r="P163" s="10">
        <f t="shared" si="50"/>
        <v>0.76158547791622722</v>
      </c>
      <c r="Q163" s="13"/>
      <c r="R163" s="2" t="e">
        <f t="shared" si="71"/>
        <v>#VALUE!</v>
      </c>
      <c r="S163" s="2" t="e">
        <f t="shared" si="72"/>
        <v>#VALUE!</v>
      </c>
      <c r="T163" s="2" t="e">
        <f t="shared" ca="1" si="59"/>
        <v>#VALUE!</v>
      </c>
      <c r="U163" s="2" t="e">
        <f t="shared" si="73"/>
        <v>#VALUE!</v>
      </c>
      <c r="V163" s="2" t="e">
        <f t="shared" si="60"/>
        <v>#VALUE!</v>
      </c>
      <c r="W163" s="2">
        <f t="shared" si="61"/>
        <v>477.4153</v>
      </c>
      <c r="X163" s="2" t="e">
        <f t="shared" ca="1" si="62"/>
        <v>#VALUE!</v>
      </c>
      <c r="Y163" s="2" t="e">
        <f t="shared" ca="1" si="63"/>
        <v>#VALUE!</v>
      </c>
      <c r="Z163" s="10">
        <f t="shared" si="64"/>
        <v>0.64450784005660045</v>
      </c>
      <c r="AA163" s="10" t="e">
        <f t="shared" ca="1" si="51"/>
        <v>#VALUE!</v>
      </c>
      <c r="AB163" s="11" t="e">
        <f t="shared" si="65"/>
        <v>#VALUE!</v>
      </c>
      <c r="AC163" s="11" t="e">
        <f>SUM($S$31:S163)/$V$31</f>
        <v>#VALUE!</v>
      </c>
      <c r="AD163" s="11" t="e">
        <f>SUM($S$31:S163,$R$31:R163,$T$31:T163)/$V$31</f>
        <v>#VALUE!</v>
      </c>
      <c r="AE163" s="11" t="e">
        <f>SUM($M$31:M163)/$V$31</f>
        <v>#VALUE!</v>
      </c>
      <c r="AF163" s="11" t="e">
        <f ca="1">SUM(SUM($M$31:M163),-SUM($T$31:T163))/$V$31</f>
        <v>#VALUE!</v>
      </c>
      <c r="AG163">
        <f t="shared" si="52"/>
        <v>17556</v>
      </c>
    </row>
    <row r="164" spans="2:33" x14ac:dyDescent="0.15">
      <c r="B164" s="1">
        <f t="shared" si="66"/>
        <v>133</v>
      </c>
      <c r="C164" s="1">
        <f t="shared" si="53"/>
        <v>133</v>
      </c>
      <c r="D164" s="25">
        <v>3.8239745641434897E-2</v>
      </c>
      <c r="E164" s="2">
        <f t="shared" si="54"/>
        <v>76158.547791622725</v>
      </c>
      <c r="F164" s="3">
        <f t="shared" si="67"/>
        <v>0.04</v>
      </c>
      <c r="G164" s="2">
        <f t="shared" si="68"/>
        <v>477.4153</v>
      </c>
      <c r="H164" s="2">
        <f t="shared" si="69"/>
        <v>253.86182597207576</v>
      </c>
      <c r="I164" s="2">
        <f t="shared" si="70"/>
        <v>223.55347402792424</v>
      </c>
      <c r="J164" s="2">
        <f t="shared" si="55"/>
        <v>75934.994317594799</v>
      </c>
      <c r="K164" s="2" t="e">
        <f t="shared" si="74"/>
        <v>#VALUE!</v>
      </c>
      <c r="L164" s="9">
        <v>1.6821425527395739E-3</v>
      </c>
      <c r="M164" s="2" t="e">
        <f t="shared" si="56"/>
        <v>#VALUE!</v>
      </c>
      <c r="N164" s="3">
        <f t="shared" si="57"/>
        <v>0.04</v>
      </c>
      <c r="O164" s="2" t="e">
        <f t="shared" si="58"/>
        <v>#VALUE!</v>
      </c>
      <c r="P164" s="10">
        <f t="shared" si="50"/>
        <v>0.75934994317594795</v>
      </c>
      <c r="Q164" s="13"/>
      <c r="R164" s="2" t="e">
        <f t="shared" si="71"/>
        <v>#VALUE!</v>
      </c>
      <c r="S164" s="2" t="e">
        <f t="shared" si="72"/>
        <v>#VALUE!</v>
      </c>
      <c r="T164" s="2" t="e">
        <f t="shared" ca="1" si="59"/>
        <v>#VALUE!</v>
      </c>
      <c r="U164" s="2" t="e">
        <f t="shared" si="73"/>
        <v>#VALUE!</v>
      </c>
      <c r="V164" s="2" t="e">
        <f t="shared" si="60"/>
        <v>#VALUE!</v>
      </c>
      <c r="W164" s="2">
        <f t="shared" si="61"/>
        <v>477.4153</v>
      </c>
      <c r="X164" s="2" t="e">
        <f t="shared" ca="1" si="62"/>
        <v>#VALUE!</v>
      </c>
      <c r="Y164" s="2" t="e">
        <f t="shared" ca="1" si="63"/>
        <v>#VALUE!</v>
      </c>
      <c r="Z164" s="10">
        <f t="shared" si="64"/>
        <v>0.64236661799715966</v>
      </c>
      <c r="AA164" s="10" t="e">
        <f t="shared" ca="1" si="51"/>
        <v>#VALUE!</v>
      </c>
      <c r="AB164" s="11" t="e">
        <f t="shared" si="65"/>
        <v>#VALUE!</v>
      </c>
      <c r="AC164" s="11" t="e">
        <f>SUM($S$31:S164)/$V$31</f>
        <v>#VALUE!</v>
      </c>
      <c r="AD164" s="11" t="e">
        <f>SUM($S$31:S164,$R$31:R164,$T$31:T164)/$V$31</f>
        <v>#VALUE!</v>
      </c>
      <c r="AE164" s="11" t="e">
        <f>SUM($M$31:M164)/$V$31</f>
        <v>#VALUE!</v>
      </c>
      <c r="AF164" s="11" t="e">
        <f ca="1">SUM(SUM($M$31:M164),-SUM($T$31:T164))/$V$31</f>
        <v>#VALUE!</v>
      </c>
      <c r="AG164">
        <f t="shared" si="52"/>
        <v>17822</v>
      </c>
    </row>
    <row r="165" spans="2:33" x14ac:dyDescent="0.15">
      <c r="B165" s="1">
        <f t="shared" si="66"/>
        <v>134</v>
      </c>
      <c r="C165" s="1">
        <f t="shared" si="53"/>
        <v>134</v>
      </c>
      <c r="D165" s="25">
        <v>3.8305481801929199E-2</v>
      </c>
      <c r="E165" s="2">
        <f t="shared" si="54"/>
        <v>75934.994317594799</v>
      </c>
      <c r="F165" s="3">
        <f t="shared" si="67"/>
        <v>0.04</v>
      </c>
      <c r="G165" s="2">
        <f t="shared" si="68"/>
        <v>477.4153</v>
      </c>
      <c r="H165" s="2">
        <f t="shared" si="69"/>
        <v>253.116647725316</v>
      </c>
      <c r="I165" s="2">
        <f t="shared" si="70"/>
        <v>224.298652274684</v>
      </c>
      <c r="J165" s="2">
        <f t="shared" si="55"/>
        <v>75710.69566532012</v>
      </c>
      <c r="K165" s="2" t="e">
        <f t="shared" si="74"/>
        <v>#VALUE!</v>
      </c>
      <c r="L165" s="9">
        <v>1.6821425527395739E-3</v>
      </c>
      <c r="M165" s="2" t="e">
        <f t="shared" si="56"/>
        <v>#VALUE!</v>
      </c>
      <c r="N165" s="3">
        <f t="shared" si="57"/>
        <v>0.04</v>
      </c>
      <c r="O165" s="2" t="e">
        <f t="shared" si="58"/>
        <v>#VALUE!</v>
      </c>
      <c r="P165" s="10">
        <f t="shared" si="50"/>
        <v>0.75710695665320116</v>
      </c>
      <c r="Q165" s="13"/>
      <c r="R165" s="2" t="e">
        <f t="shared" si="71"/>
        <v>#VALUE!</v>
      </c>
      <c r="S165" s="2" t="e">
        <f t="shared" si="72"/>
        <v>#VALUE!</v>
      </c>
      <c r="T165" s="2" t="e">
        <f t="shared" ca="1" si="59"/>
        <v>#VALUE!</v>
      </c>
      <c r="U165" s="2" t="e">
        <f t="shared" si="73"/>
        <v>#VALUE!</v>
      </c>
      <c r="V165" s="2" t="e">
        <f t="shared" si="60"/>
        <v>#VALUE!</v>
      </c>
      <c r="W165" s="2">
        <f t="shared" si="61"/>
        <v>477.4153</v>
      </c>
      <c r="X165" s="2" t="e">
        <f t="shared" ca="1" si="62"/>
        <v>#VALUE!</v>
      </c>
      <c r="Y165" s="2" t="e">
        <f t="shared" ca="1" si="63"/>
        <v>#VALUE!</v>
      </c>
      <c r="Z165" s="10">
        <f t="shared" si="64"/>
        <v>0.64023250963226641</v>
      </c>
      <c r="AA165" s="10" t="e">
        <f t="shared" ca="1" si="51"/>
        <v>#VALUE!</v>
      </c>
      <c r="AB165" s="11" t="e">
        <f t="shared" si="65"/>
        <v>#VALUE!</v>
      </c>
      <c r="AC165" s="11" t="e">
        <f>SUM($S$31:S165)/$V$31</f>
        <v>#VALUE!</v>
      </c>
      <c r="AD165" s="11" t="e">
        <f>SUM($S$31:S165,$R$31:R165,$T$31:T165)/$V$31</f>
        <v>#VALUE!</v>
      </c>
      <c r="AE165" s="11" t="e">
        <f>SUM($M$31:M165)/$V$31</f>
        <v>#VALUE!</v>
      </c>
      <c r="AF165" s="11" t="e">
        <f ca="1">SUM(SUM($M$31:M165),-SUM($T$31:T165))/$V$31</f>
        <v>#VALUE!</v>
      </c>
      <c r="AG165">
        <f t="shared" si="52"/>
        <v>18090</v>
      </c>
    </row>
    <row r="166" spans="2:33" x14ac:dyDescent="0.15">
      <c r="B166" s="1">
        <f t="shared" si="66"/>
        <v>135</v>
      </c>
      <c r="C166" s="1">
        <f t="shared" si="53"/>
        <v>135</v>
      </c>
      <c r="D166" s="25">
        <v>3.8362355132956695E-2</v>
      </c>
      <c r="E166" s="2">
        <f t="shared" si="54"/>
        <v>75710.69566532012</v>
      </c>
      <c r="F166" s="3">
        <f t="shared" si="67"/>
        <v>0.04</v>
      </c>
      <c r="G166" s="2">
        <f t="shared" si="68"/>
        <v>477.4153</v>
      </c>
      <c r="H166" s="2">
        <f t="shared" si="69"/>
        <v>252.36898555106708</v>
      </c>
      <c r="I166" s="2">
        <f t="shared" si="70"/>
        <v>225.04631444893292</v>
      </c>
      <c r="J166" s="2">
        <f t="shared" si="55"/>
        <v>75485.649350871186</v>
      </c>
      <c r="K166" s="2" t="e">
        <f t="shared" si="74"/>
        <v>#VALUE!</v>
      </c>
      <c r="L166" s="9">
        <v>1.6821425527395739E-3</v>
      </c>
      <c r="M166" s="2" t="e">
        <f t="shared" si="56"/>
        <v>#VALUE!</v>
      </c>
      <c r="N166" s="3">
        <f t="shared" si="57"/>
        <v>0.04</v>
      </c>
      <c r="O166" s="2" t="e">
        <f t="shared" si="58"/>
        <v>#VALUE!</v>
      </c>
      <c r="P166" s="10">
        <f t="shared" si="50"/>
        <v>0.75485649350871187</v>
      </c>
      <c r="Q166" s="13"/>
      <c r="R166" s="2" t="e">
        <f t="shared" si="71"/>
        <v>#VALUE!</v>
      </c>
      <c r="S166" s="2" t="e">
        <f t="shared" si="72"/>
        <v>#VALUE!</v>
      </c>
      <c r="T166" s="2" t="e">
        <f t="shared" ca="1" si="59"/>
        <v>#VALUE!</v>
      </c>
      <c r="U166" s="2" t="e">
        <f t="shared" si="73"/>
        <v>#VALUE!</v>
      </c>
      <c r="V166" s="2" t="e">
        <f t="shared" si="60"/>
        <v>#VALUE!</v>
      </c>
      <c r="W166" s="2">
        <f t="shared" si="61"/>
        <v>477.4153</v>
      </c>
      <c r="X166" s="2" t="e">
        <f t="shared" ca="1" si="62"/>
        <v>#VALUE!</v>
      </c>
      <c r="Y166" s="2" t="e">
        <f t="shared" ca="1" si="63"/>
        <v>#VALUE!</v>
      </c>
      <c r="Z166" s="10">
        <f t="shared" si="64"/>
        <v>0.63810549132838457</v>
      </c>
      <c r="AA166" s="10" t="e">
        <f t="shared" ca="1" si="51"/>
        <v>#VALUE!</v>
      </c>
      <c r="AB166" s="11" t="e">
        <f t="shared" si="65"/>
        <v>#VALUE!</v>
      </c>
      <c r="AC166" s="11" t="e">
        <f>SUM($S$31:S166)/$V$31</f>
        <v>#VALUE!</v>
      </c>
      <c r="AD166" s="11" t="e">
        <f>SUM($S$31:S166,$R$31:R166,$T$31:T166)/$V$31</f>
        <v>#VALUE!</v>
      </c>
      <c r="AE166" s="11" t="e">
        <f>SUM($M$31:M166)/$V$31</f>
        <v>#VALUE!</v>
      </c>
      <c r="AF166" s="11" t="e">
        <f ca="1">SUM(SUM($M$31:M166),-SUM($T$31:T166))/$V$31</f>
        <v>#VALUE!</v>
      </c>
      <c r="AG166">
        <f t="shared" si="52"/>
        <v>18360</v>
      </c>
    </row>
    <row r="167" spans="2:33" x14ac:dyDescent="0.15">
      <c r="B167" s="1">
        <f t="shared" si="66"/>
        <v>136</v>
      </c>
      <c r="C167" s="1">
        <f t="shared" si="53"/>
        <v>136</v>
      </c>
      <c r="D167" s="25">
        <v>3.8419549264896796E-2</v>
      </c>
      <c r="E167" s="2">
        <f t="shared" si="54"/>
        <v>75485.649350871186</v>
      </c>
      <c r="F167" s="3">
        <f t="shared" si="67"/>
        <v>0.04</v>
      </c>
      <c r="G167" s="2">
        <f t="shared" si="68"/>
        <v>477.4153</v>
      </c>
      <c r="H167" s="2">
        <f t="shared" si="69"/>
        <v>251.61883116957063</v>
      </c>
      <c r="I167" s="2">
        <f t="shared" si="70"/>
        <v>225.79646883042938</v>
      </c>
      <c r="J167" s="2">
        <f t="shared" si="55"/>
        <v>75259.852882040752</v>
      </c>
      <c r="K167" s="2" t="e">
        <f t="shared" si="74"/>
        <v>#VALUE!</v>
      </c>
      <c r="L167" s="9">
        <v>1.6821425527395739E-3</v>
      </c>
      <c r="M167" s="2" t="e">
        <f t="shared" si="56"/>
        <v>#VALUE!</v>
      </c>
      <c r="N167" s="3">
        <f t="shared" si="57"/>
        <v>0.04</v>
      </c>
      <c r="O167" s="2" t="e">
        <f t="shared" si="58"/>
        <v>#VALUE!</v>
      </c>
      <c r="P167" s="10">
        <f t="shared" si="50"/>
        <v>0.75259852882040756</v>
      </c>
      <c r="Q167" s="13"/>
      <c r="R167" s="2" t="e">
        <f t="shared" si="71"/>
        <v>#VALUE!</v>
      </c>
      <c r="S167" s="2" t="e">
        <f t="shared" si="72"/>
        <v>#VALUE!</v>
      </c>
      <c r="T167" s="2" t="e">
        <f t="shared" ca="1" si="59"/>
        <v>#VALUE!</v>
      </c>
      <c r="U167" s="2" t="e">
        <f t="shared" si="73"/>
        <v>#VALUE!</v>
      </c>
      <c r="V167" s="2" t="e">
        <f t="shared" si="60"/>
        <v>#VALUE!</v>
      </c>
      <c r="W167" s="2">
        <f t="shared" si="61"/>
        <v>477.4153</v>
      </c>
      <c r="X167" s="2" t="e">
        <f t="shared" ca="1" si="62"/>
        <v>#VALUE!</v>
      </c>
      <c r="Y167" s="2" t="e">
        <f t="shared" ca="1" si="63"/>
        <v>#VALUE!</v>
      </c>
      <c r="Z167" s="10">
        <f t="shared" si="64"/>
        <v>0.63598553953049386</v>
      </c>
      <c r="AA167" s="10" t="e">
        <f t="shared" ca="1" si="51"/>
        <v>#VALUE!</v>
      </c>
      <c r="AB167" s="11" t="e">
        <f t="shared" si="65"/>
        <v>#VALUE!</v>
      </c>
      <c r="AC167" s="11" t="e">
        <f>SUM($S$31:S167)/$V$31</f>
        <v>#VALUE!</v>
      </c>
      <c r="AD167" s="11" t="e">
        <f>SUM($S$31:S167,$R$31:R167,$T$31:T167)/$V$31</f>
        <v>#VALUE!</v>
      </c>
      <c r="AE167" s="11" t="e">
        <f>SUM($M$31:M167)/$V$31</f>
        <v>#VALUE!</v>
      </c>
      <c r="AF167" s="11" t="e">
        <f ca="1">SUM(SUM($M$31:M167),-SUM($T$31:T167))/$V$31</f>
        <v>#VALUE!</v>
      </c>
      <c r="AG167">
        <f t="shared" si="52"/>
        <v>18632</v>
      </c>
    </row>
    <row r="168" spans="2:33" x14ac:dyDescent="0.15">
      <c r="B168" s="1">
        <f t="shared" si="66"/>
        <v>137</v>
      </c>
      <c r="C168" s="1">
        <f t="shared" si="53"/>
        <v>137</v>
      </c>
      <c r="D168" s="25">
        <v>3.8468838452067403E-2</v>
      </c>
      <c r="E168" s="2">
        <f t="shared" si="54"/>
        <v>75259.852882040752</v>
      </c>
      <c r="F168" s="3">
        <f t="shared" si="67"/>
        <v>0.04</v>
      </c>
      <c r="G168" s="2">
        <f t="shared" si="68"/>
        <v>477.4153</v>
      </c>
      <c r="H168" s="2">
        <f t="shared" si="69"/>
        <v>250.86617627346919</v>
      </c>
      <c r="I168" s="2">
        <f t="shared" si="70"/>
        <v>226.54912372653081</v>
      </c>
      <c r="J168" s="2">
        <f t="shared" si="55"/>
        <v>75033.303758314214</v>
      </c>
      <c r="K168" s="2" t="e">
        <f t="shared" si="74"/>
        <v>#VALUE!</v>
      </c>
      <c r="L168" s="9">
        <v>1.6821425527395739E-3</v>
      </c>
      <c r="M168" s="2" t="e">
        <f t="shared" si="56"/>
        <v>#VALUE!</v>
      </c>
      <c r="N168" s="3">
        <f t="shared" si="57"/>
        <v>0.04</v>
      </c>
      <c r="O168" s="2" t="e">
        <f t="shared" si="58"/>
        <v>#VALUE!</v>
      </c>
      <c r="P168" s="10">
        <f t="shared" si="50"/>
        <v>0.75033303758314218</v>
      </c>
      <c r="Q168" s="13"/>
      <c r="R168" s="2" t="e">
        <f t="shared" si="71"/>
        <v>#VALUE!</v>
      </c>
      <c r="S168" s="2" t="e">
        <f t="shared" si="72"/>
        <v>#VALUE!</v>
      </c>
      <c r="T168" s="2" t="e">
        <f t="shared" ca="1" si="59"/>
        <v>#VALUE!</v>
      </c>
      <c r="U168" s="2" t="e">
        <f t="shared" si="73"/>
        <v>#VALUE!</v>
      </c>
      <c r="V168" s="2" t="e">
        <f t="shared" si="60"/>
        <v>#VALUE!</v>
      </c>
      <c r="W168" s="2">
        <f t="shared" si="61"/>
        <v>477.4153</v>
      </c>
      <c r="X168" s="2" t="e">
        <f t="shared" ca="1" si="62"/>
        <v>#VALUE!</v>
      </c>
      <c r="Y168" s="2" t="e">
        <f t="shared" ca="1" si="63"/>
        <v>#VALUE!</v>
      </c>
      <c r="Z168" s="10">
        <f t="shared" si="64"/>
        <v>0.63387263076183009</v>
      </c>
      <c r="AA168" s="10" t="e">
        <f t="shared" ca="1" si="51"/>
        <v>#VALUE!</v>
      </c>
      <c r="AB168" s="11" t="e">
        <f t="shared" si="65"/>
        <v>#VALUE!</v>
      </c>
      <c r="AC168" s="11" t="e">
        <f>SUM($S$31:S168)/$V$31</f>
        <v>#VALUE!</v>
      </c>
      <c r="AD168" s="11" t="e">
        <f>SUM($S$31:S168,$R$31:R168,$T$31:T168)/$V$31</f>
        <v>#VALUE!</v>
      </c>
      <c r="AE168" s="11" t="e">
        <f>SUM($M$31:M168)/$V$31</f>
        <v>#VALUE!</v>
      </c>
      <c r="AF168" s="11" t="e">
        <f ca="1">SUM(SUM($M$31:M168),-SUM($T$31:T168))/$V$31</f>
        <v>#VALUE!</v>
      </c>
      <c r="AG168">
        <f t="shared" si="52"/>
        <v>18906</v>
      </c>
    </row>
    <row r="169" spans="2:33" x14ac:dyDescent="0.15">
      <c r="B169" s="1">
        <f t="shared" si="66"/>
        <v>138</v>
      </c>
      <c r="C169" s="1">
        <f t="shared" si="53"/>
        <v>138</v>
      </c>
      <c r="D169" s="25">
        <v>3.8518471148508697E-2</v>
      </c>
      <c r="E169" s="2">
        <f t="shared" si="54"/>
        <v>75033.303758314214</v>
      </c>
      <c r="F169" s="3">
        <f t="shared" si="67"/>
        <v>0.04</v>
      </c>
      <c r="G169" s="2">
        <f t="shared" si="68"/>
        <v>477.4153</v>
      </c>
      <c r="H169" s="2">
        <f t="shared" si="69"/>
        <v>250.11101252771405</v>
      </c>
      <c r="I169" s="2">
        <f t="shared" si="70"/>
        <v>227.30428747228595</v>
      </c>
      <c r="J169" s="2">
        <f t="shared" si="55"/>
        <v>74805.999470841925</v>
      </c>
      <c r="K169" s="2" t="e">
        <f t="shared" si="74"/>
        <v>#VALUE!</v>
      </c>
      <c r="L169" s="9">
        <v>1.6821425527395739E-3</v>
      </c>
      <c r="M169" s="2" t="e">
        <f t="shared" si="56"/>
        <v>#VALUE!</v>
      </c>
      <c r="N169" s="3">
        <f t="shared" si="57"/>
        <v>0.04</v>
      </c>
      <c r="O169" s="2" t="e">
        <f t="shared" si="58"/>
        <v>#VALUE!</v>
      </c>
      <c r="P169" s="10">
        <f t="shared" si="50"/>
        <v>0.74805999470841922</v>
      </c>
      <c r="Q169" s="13"/>
      <c r="R169" s="2" t="e">
        <f t="shared" si="71"/>
        <v>#VALUE!</v>
      </c>
      <c r="S169" s="2" t="e">
        <f t="shared" si="72"/>
        <v>#VALUE!</v>
      </c>
      <c r="T169" s="2" t="e">
        <f t="shared" ca="1" si="59"/>
        <v>#VALUE!</v>
      </c>
      <c r="U169" s="2" t="e">
        <f t="shared" si="73"/>
        <v>#VALUE!</v>
      </c>
      <c r="V169" s="2" t="e">
        <f t="shared" si="60"/>
        <v>#VALUE!</v>
      </c>
      <c r="W169" s="2">
        <f t="shared" si="61"/>
        <v>477.4153</v>
      </c>
      <c r="X169" s="2" t="e">
        <f t="shared" ca="1" si="62"/>
        <v>#VALUE!</v>
      </c>
      <c r="Y169" s="2" t="e">
        <f t="shared" ca="1" si="63"/>
        <v>#VALUE!</v>
      </c>
      <c r="Z169" s="10">
        <f t="shared" si="64"/>
        <v>0.63176674162362523</v>
      </c>
      <c r="AA169" s="10" t="e">
        <f t="shared" ca="1" si="51"/>
        <v>#VALUE!</v>
      </c>
      <c r="AB169" s="11" t="e">
        <f t="shared" si="65"/>
        <v>#VALUE!</v>
      </c>
      <c r="AC169" s="11" t="e">
        <f>SUM($S$31:S169)/$V$31</f>
        <v>#VALUE!</v>
      </c>
      <c r="AD169" s="11" t="e">
        <f>SUM($S$31:S169,$R$31:R169,$T$31:T169)/$V$31</f>
        <v>#VALUE!</v>
      </c>
      <c r="AE169" s="11" t="e">
        <f>SUM($M$31:M169)/$V$31</f>
        <v>#VALUE!</v>
      </c>
      <c r="AF169" s="11" t="e">
        <f ca="1">SUM(SUM($M$31:M169),-SUM($T$31:T169))/$V$31</f>
        <v>#VALUE!</v>
      </c>
      <c r="AG169">
        <f t="shared" si="52"/>
        <v>19182</v>
      </c>
    </row>
    <row r="170" spans="2:33" x14ac:dyDescent="0.15">
      <c r="B170" s="1">
        <f t="shared" si="66"/>
        <v>139</v>
      </c>
      <c r="C170" s="1">
        <f t="shared" si="53"/>
        <v>139</v>
      </c>
      <c r="D170" s="25">
        <v>3.8562938554354803E-2</v>
      </c>
      <c r="E170" s="2">
        <f t="shared" si="54"/>
        <v>74805.999470841925</v>
      </c>
      <c r="F170" s="3">
        <f t="shared" si="67"/>
        <v>0.04</v>
      </c>
      <c r="G170" s="2">
        <f t="shared" si="68"/>
        <v>477.4153</v>
      </c>
      <c r="H170" s="2">
        <f t="shared" si="69"/>
        <v>249.35333156947311</v>
      </c>
      <c r="I170" s="2">
        <f t="shared" si="70"/>
        <v>228.06196843052689</v>
      </c>
      <c r="J170" s="2">
        <f t="shared" si="55"/>
        <v>74577.937502411398</v>
      </c>
      <c r="K170" s="2" t="e">
        <f t="shared" si="74"/>
        <v>#VALUE!</v>
      </c>
      <c r="L170" s="9">
        <v>1.6821425527395739E-3</v>
      </c>
      <c r="M170" s="2" t="e">
        <f t="shared" si="56"/>
        <v>#VALUE!</v>
      </c>
      <c r="N170" s="3">
        <f t="shared" si="57"/>
        <v>0.04</v>
      </c>
      <c r="O170" s="2" t="e">
        <f t="shared" si="58"/>
        <v>#VALUE!</v>
      </c>
      <c r="P170" s="10">
        <f t="shared" si="50"/>
        <v>0.74577937502411396</v>
      </c>
      <c r="Q170" s="13"/>
      <c r="R170" s="2" t="e">
        <f t="shared" si="71"/>
        <v>#VALUE!</v>
      </c>
      <c r="S170" s="2" t="e">
        <f t="shared" si="72"/>
        <v>#VALUE!</v>
      </c>
      <c r="T170" s="2" t="e">
        <f t="shared" ca="1" si="59"/>
        <v>#VALUE!</v>
      </c>
      <c r="U170" s="2" t="e">
        <f t="shared" si="73"/>
        <v>#VALUE!</v>
      </c>
      <c r="V170" s="2" t="e">
        <f t="shared" si="60"/>
        <v>#VALUE!</v>
      </c>
      <c r="W170" s="2">
        <f t="shared" si="61"/>
        <v>477.4153</v>
      </c>
      <c r="X170" s="2" t="e">
        <f t="shared" ca="1" si="62"/>
        <v>#VALUE!</v>
      </c>
      <c r="Y170" s="2" t="e">
        <f t="shared" ca="1" si="63"/>
        <v>#VALUE!</v>
      </c>
      <c r="Z170" s="10">
        <f t="shared" si="64"/>
        <v>0.62966784879484794</v>
      </c>
      <c r="AA170" s="10" t="e">
        <f t="shared" ca="1" si="51"/>
        <v>#VALUE!</v>
      </c>
      <c r="AB170" s="11" t="e">
        <f t="shared" si="65"/>
        <v>#VALUE!</v>
      </c>
      <c r="AC170" s="11" t="e">
        <f>SUM($S$31:S170)/$V$31</f>
        <v>#VALUE!</v>
      </c>
      <c r="AD170" s="11" t="e">
        <f>SUM($S$31:S170,$R$31:R170,$T$31:T170)/$V$31</f>
        <v>#VALUE!</v>
      </c>
      <c r="AE170" s="11" t="e">
        <f>SUM($M$31:M170)/$V$31</f>
        <v>#VALUE!</v>
      </c>
      <c r="AF170" s="11" t="e">
        <f ca="1">SUM(SUM($M$31:M170),-SUM($T$31:T170))/$V$31</f>
        <v>#VALUE!</v>
      </c>
      <c r="AG170">
        <f t="shared" si="52"/>
        <v>19460</v>
      </c>
    </row>
    <row r="171" spans="2:33" x14ac:dyDescent="0.15">
      <c r="B171" s="1">
        <f t="shared" si="66"/>
        <v>140</v>
      </c>
      <c r="C171" s="1">
        <f t="shared" si="53"/>
        <v>140</v>
      </c>
      <c r="D171" s="25">
        <v>3.8600792015985999E-2</v>
      </c>
      <c r="E171" s="2">
        <f t="shared" si="54"/>
        <v>74577.937502411398</v>
      </c>
      <c r="F171" s="3">
        <f t="shared" si="67"/>
        <v>0.04</v>
      </c>
      <c r="G171" s="2">
        <f t="shared" si="68"/>
        <v>477.4153</v>
      </c>
      <c r="H171" s="2">
        <f t="shared" si="69"/>
        <v>248.59312500803802</v>
      </c>
      <c r="I171" s="2">
        <f t="shared" si="70"/>
        <v>228.82217499196199</v>
      </c>
      <c r="J171" s="2">
        <f t="shared" si="55"/>
        <v>74349.115327419437</v>
      </c>
      <c r="K171" s="2" t="e">
        <f t="shared" si="74"/>
        <v>#VALUE!</v>
      </c>
      <c r="L171" s="9">
        <v>1.6821425527395739E-3</v>
      </c>
      <c r="M171" s="2" t="e">
        <f t="shared" si="56"/>
        <v>#VALUE!</v>
      </c>
      <c r="N171" s="3">
        <f t="shared" si="57"/>
        <v>0.04</v>
      </c>
      <c r="O171" s="2" t="e">
        <f t="shared" si="58"/>
        <v>#VALUE!</v>
      </c>
      <c r="P171" s="10">
        <f t="shared" si="50"/>
        <v>0.74349115327419435</v>
      </c>
      <c r="Q171" s="13"/>
      <c r="R171" s="2" t="e">
        <f t="shared" si="71"/>
        <v>#VALUE!</v>
      </c>
      <c r="S171" s="2" t="e">
        <f t="shared" si="72"/>
        <v>#VALUE!</v>
      </c>
      <c r="T171" s="2" t="e">
        <f t="shared" ca="1" si="59"/>
        <v>#VALUE!</v>
      </c>
      <c r="U171" s="2" t="e">
        <f t="shared" si="73"/>
        <v>#VALUE!</v>
      </c>
      <c r="V171" s="2" t="e">
        <f t="shared" si="60"/>
        <v>#VALUE!</v>
      </c>
      <c r="W171" s="2">
        <f t="shared" si="61"/>
        <v>477.4153</v>
      </c>
      <c r="X171" s="2" t="e">
        <f t="shared" ca="1" si="62"/>
        <v>#VALUE!</v>
      </c>
      <c r="Y171" s="2" t="e">
        <f t="shared" ca="1" si="63"/>
        <v>#VALUE!</v>
      </c>
      <c r="Z171" s="10">
        <f t="shared" si="64"/>
        <v>0.62757592903194515</v>
      </c>
      <c r="AA171" s="10" t="e">
        <f t="shared" ca="1" si="51"/>
        <v>#VALUE!</v>
      </c>
      <c r="AB171" s="11" t="e">
        <f t="shared" si="65"/>
        <v>#VALUE!</v>
      </c>
      <c r="AC171" s="11" t="e">
        <f>SUM($S$31:S171)/$V$31</f>
        <v>#VALUE!</v>
      </c>
      <c r="AD171" s="11" t="e">
        <f>SUM($S$31:S171,$R$31:R171,$T$31:T171)/$V$31</f>
        <v>#VALUE!</v>
      </c>
      <c r="AE171" s="11" t="e">
        <f>SUM($M$31:M171)/$V$31</f>
        <v>#VALUE!</v>
      </c>
      <c r="AF171" s="11" t="e">
        <f ca="1">SUM(SUM($M$31:M171),-SUM($T$31:T171))/$V$31</f>
        <v>#VALUE!</v>
      </c>
      <c r="AG171">
        <f t="shared" si="52"/>
        <v>19740</v>
      </c>
    </row>
    <row r="172" spans="2:33" x14ac:dyDescent="0.15">
      <c r="B172" s="1">
        <f t="shared" si="66"/>
        <v>141</v>
      </c>
      <c r="C172" s="1">
        <f t="shared" si="53"/>
        <v>141</v>
      </c>
      <c r="D172" s="25">
        <v>3.8639017214092901E-2</v>
      </c>
      <c r="E172" s="2">
        <f t="shared" si="54"/>
        <v>74349.115327419437</v>
      </c>
      <c r="F172" s="3">
        <f t="shared" si="67"/>
        <v>0.04</v>
      </c>
      <c r="G172" s="2">
        <f t="shared" si="68"/>
        <v>477.4153</v>
      </c>
      <c r="H172" s="2">
        <f t="shared" si="69"/>
        <v>247.83038442473148</v>
      </c>
      <c r="I172" s="2">
        <f t="shared" si="70"/>
        <v>229.58491557526852</v>
      </c>
      <c r="J172" s="2">
        <f t="shared" si="55"/>
        <v>74119.530411844171</v>
      </c>
      <c r="K172" s="2" t="e">
        <f t="shared" si="74"/>
        <v>#VALUE!</v>
      </c>
      <c r="L172" s="9">
        <v>1.6821425527395739E-3</v>
      </c>
      <c r="M172" s="2" t="e">
        <f t="shared" si="56"/>
        <v>#VALUE!</v>
      </c>
      <c r="N172" s="3">
        <f t="shared" si="57"/>
        <v>0.04</v>
      </c>
      <c r="O172" s="2" t="e">
        <f t="shared" si="58"/>
        <v>#VALUE!</v>
      </c>
      <c r="P172" s="10">
        <f t="shared" si="50"/>
        <v>0.7411953041184417</v>
      </c>
      <c r="Q172" s="13"/>
      <c r="R172" s="2" t="e">
        <f t="shared" si="71"/>
        <v>#VALUE!</v>
      </c>
      <c r="S172" s="2" t="e">
        <f t="shared" si="72"/>
        <v>#VALUE!</v>
      </c>
      <c r="T172" s="2" t="e">
        <f t="shared" ca="1" si="59"/>
        <v>#VALUE!</v>
      </c>
      <c r="U172" s="2" t="e">
        <f t="shared" si="73"/>
        <v>#VALUE!</v>
      </c>
      <c r="V172" s="2" t="e">
        <f t="shared" si="60"/>
        <v>#VALUE!</v>
      </c>
      <c r="W172" s="2">
        <f t="shared" si="61"/>
        <v>477.4153</v>
      </c>
      <c r="X172" s="2" t="e">
        <f t="shared" ca="1" si="62"/>
        <v>#VALUE!</v>
      </c>
      <c r="Y172" s="2" t="e">
        <f t="shared" ca="1" si="63"/>
        <v>#VALUE!</v>
      </c>
      <c r="Z172" s="10">
        <f t="shared" si="64"/>
        <v>0.6254909591685851</v>
      </c>
      <c r="AA172" s="10" t="e">
        <f t="shared" ca="1" si="51"/>
        <v>#VALUE!</v>
      </c>
      <c r="AB172" s="11" t="e">
        <f t="shared" si="65"/>
        <v>#VALUE!</v>
      </c>
      <c r="AC172" s="11" t="e">
        <f>SUM($S$31:S172)/$V$31</f>
        <v>#VALUE!</v>
      </c>
      <c r="AD172" s="11" t="e">
        <f>SUM($S$31:S172,$R$31:R172,$T$31:T172)/$V$31</f>
        <v>#VALUE!</v>
      </c>
      <c r="AE172" s="11" t="e">
        <f>SUM($M$31:M172)/$V$31</f>
        <v>#VALUE!</v>
      </c>
      <c r="AF172" s="11" t="e">
        <f ca="1">SUM(SUM($M$31:M172),-SUM($T$31:T172))/$V$31</f>
        <v>#VALUE!</v>
      </c>
      <c r="AG172">
        <f t="shared" si="52"/>
        <v>20022</v>
      </c>
    </row>
    <row r="173" spans="2:33" x14ac:dyDescent="0.15">
      <c r="B173" s="1">
        <f t="shared" si="66"/>
        <v>142</v>
      </c>
      <c r="C173" s="1">
        <f t="shared" si="53"/>
        <v>142</v>
      </c>
      <c r="D173" s="25">
        <v>3.8669290112613101E-2</v>
      </c>
      <c r="E173" s="2">
        <f t="shared" si="54"/>
        <v>74119.530411844171</v>
      </c>
      <c r="F173" s="3">
        <f t="shared" si="67"/>
        <v>0.04</v>
      </c>
      <c r="G173" s="2">
        <f t="shared" si="68"/>
        <v>477.4153</v>
      </c>
      <c r="H173" s="2">
        <f t="shared" si="69"/>
        <v>247.06510137281393</v>
      </c>
      <c r="I173" s="2">
        <f t="shared" si="70"/>
        <v>230.35019862718607</v>
      </c>
      <c r="J173" s="2">
        <f t="shared" si="55"/>
        <v>73889.180213216983</v>
      </c>
      <c r="K173" s="2" t="e">
        <f t="shared" si="74"/>
        <v>#VALUE!</v>
      </c>
      <c r="L173" s="9">
        <v>1.6821425527395739E-3</v>
      </c>
      <c r="M173" s="2" t="e">
        <f t="shared" si="56"/>
        <v>#VALUE!</v>
      </c>
      <c r="N173" s="3">
        <f t="shared" si="57"/>
        <v>0.04</v>
      </c>
      <c r="O173" s="2" t="e">
        <f t="shared" si="58"/>
        <v>#VALUE!</v>
      </c>
      <c r="P173" s="10">
        <f t="shared" si="50"/>
        <v>0.73889180213216987</v>
      </c>
      <c r="Q173" s="13"/>
      <c r="R173" s="2" t="e">
        <f t="shared" si="71"/>
        <v>#VALUE!</v>
      </c>
      <c r="S173" s="2" t="e">
        <f t="shared" si="72"/>
        <v>#VALUE!</v>
      </c>
      <c r="T173" s="2" t="e">
        <f t="shared" ca="1" si="59"/>
        <v>#VALUE!</v>
      </c>
      <c r="U173" s="2" t="e">
        <f t="shared" si="73"/>
        <v>#VALUE!</v>
      </c>
      <c r="V173" s="2" t="e">
        <f t="shared" si="60"/>
        <v>#VALUE!</v>
      </c>
      <c r="W173" s="2">
        <f t="shared" si="61"/>
        <v>477.4153</v>
      </c>
      <c r="X173" s="2" t="e">
        <f t="shared" ca="1" si="62"/>
        <v>#VALUE!</v>
      </c>
      <c r="Y173" s="2" t="e">
        <f t="shared" ca="1" si="63"/>
        <v>#VALUE!</v>
      </c>
      <c r="Z173" s="10">
        <f t="shared" si="64"/>
        <v>0.6234129161154004</v>
      </c>
      <c r="AA173" s="10" t="e">
        <f t="shared" ca="1" si="51"/>
        <v>#VALUE!</v>
      </c>
      <c r="AB173" s="11" t="e">
        <f t="shared" si="65"/>
        <v>#VALUE!</v>
      </c>
      <c r="AC173" s="11" t="e">
        <f>SUM($S$31:S173)/$V$31</f>
        <v>#VALUE!</v>
      </c>
      <c r="AD173" s="11" t="e">
        <f>SUM($S$31:S173,$R$31:R173,$T$31:T173)/$V$31</f>
        <v>#VALUE!</v>
      </c>
      <c r="AE173" s="11" t="e">
        <f>SUM($M$31:M173)/$V$31</f>
        <v>#VALUE!</v>
      </c>
      <c r="AF173" s="11" t="e">
        <f ca="1">SUM(SUM($M$31:M173),-SUM($T$31:T173))/$V$31</f>
        <v>#VALUE!</v>
      </c>
      <c r="AG173">
        <f t="shared" si="52"/>
        <v>20306</v>
      </c>
    </row>
    <row r="174" spans="2:33" x14ac:dyDescent="0.15">
      <c r="B174" s="1">
        <f t="shared" si="66"/>
        <v>143</v>
      </c>
      <c r="C174" s="1">
        <f t="shared" si="53"/>
        <v>143</v>
      </c>
      <c r="D174" s="25">
        <v>3.8699949438586199E-2</v>
      </c>
      <c r="E174" s="2">
        <f t="shared" si="54"/>
        <v>73889.180213216983</v>
      </c>
      <c r="F174" s="3">
        <f t="shared" si="67"/>
        <v>0.04</v>
      </c>
      <c r="G174" s="2">
        <f t="shared" si="68"/>
        <v>477.4153</v>
      </c>
      <c r="H174" s="2">
        <f t="shared" si="69"/>
        <v>246.29726737738997</v>
      </c>
      <c r="I174" s="2">
        <f t="shared" si="70"/>
        <v>231.11803262261003</v>
      </c>
      <c r="J174" s="2">
        <f t="shared" si="55"/>
        <v>73658.062180594367</v>
      </c>
      <c r="K174" s="2" t="e">
        <f t="shared" si="74"/>
        <v>#VALUE!</v>
      </c>
      <c r="L174" s="9">
        <v>1.6821425527395739E-3</v>
      </c>
      <c r="M174" s="2" t="e">
        <f t="shared" si="56"/>
        <v>#VALUE!</v>
      </c>
      <c r="N174" s="3">
        <f t="shared" si="57"/>
        <v>0.04</v>
      </c>
      <c r="O174" s="2" t="e">
        <f t="shared" si="58"/>
        <v>#VALUE!</v>
      </c>
      <c r="P174" s="10">
        <f t="shared" si="50"/>
        <v>0.73658062180594364</v>
      </c>
      <c r="Q174" s="13"/>
      <c r="R174" s="2" t="e">
        <f t="shared" si="71"/>
        <v>#VALUE!</v>
      </c>
      <c r="S174" s="2" t="e">
        <f t="shared" si="72"/>
        <v>#VALUE!</v>
      </c>
      <c r="T174" s="2" t="e">
        <f t="shared" ca="1" si="59"/>
        <v>#VALUE!</v>
      </c>
      <c r="U174" s="2" t="e">
        <f t="shared" si="73"/>
        <v>#VALUE!</v>
      </c>
      <c r="V174" s="2" t="e">
        <f t="shared" si="60"/>
        <v>#VALUE!</v>
      </c>
      <c r="W174" s="2">
        <f t="shared" si="61"/>
        <v>477.4153</v>
      </c>
      <c r="X174" s="2" t="e">
        <f t="shared" ca="1" si="62"/>
        <v>#VALUE!</v>
      </c>
      <c r="Y174" s="2" t="e">
        <f t="shared" ca="1" si="63"/>
        <v>#VALUE!</v>
      </c>
      <c r="Z174" s="10">
        <f t="shared" si="64"/>
        <v>0.62134177685973302</v>
      </c>
      <c r="AA174" s="10" t="e">
        <f t="shared" ca="1" si="51"/>
        <v>#VALUE!</v>
      </c>
      <c r="AB174" s="11" t="e">
        <f t="shared" si="65"/>
        <v>#VALUE!</v>
      </c>
      <c r="AC174" s="11" t="e">
        <f>SUM($S$31:S174)/$V$31</f>
        <v>#VALUE!</v>
      </c>
      <c r="AD174" s="11" t="e">
        <f>SUM($S$31:S174,$R$31:R174,$T$31:T174)/$V$31</f>
        <v>#VALUE!</v>
      </c>
      <c r="AE174" s="11" t="e">
        <f>SUM($M$31:M174)/$V$31</f>
        <v>#VALUE!</v>
      </c>
      <c r="AF174" s="11" t="e">
        <f ca="1">SUM(SUM($M$31:M174),-SUM($T$31:T174))/$V$31</f>
        <v>#VALUE!</v>
      </c>
      <c r="AG174">
        <f t="shared" si="52"/>
        <v>20592</v>
      </c>
    </row>
    <row r="175" spans="2:33" x14ac:dyDescent="0.15">
      <c r="B175" s="1">
        <f t="shared" si="66"/>
        <v>144</v>
      </c>
      <c r="C175" s="1">
        <f t="shared" si="53"/>
        <v>144</v>
      </c>
      <c r="D175" s="25">
        <v>3.8725110343691999E-2</v>
      </c>
      <c r="E175" s="2">
        <f t="shared" si="54"/>
        <v>73658.062180594367</v>
      </c>
      <c r="F175" s="3">
        <f t="shared" si="67"/>
        <v>0.04</v>
      </c>
      <c r="G175" s="2">
        <f t="shared" si="68"/>
        <v>477.4153</v>
      </c>
      <c r="H175" s="2">
        <f t="shared" si="69"/>
        <v>245.52687393531457</v>
      </c>
      <c r="I175" s="2">
        <f t="shared" si="70"/>
        <v>231.88842606468543</v>
      </c>
      <c r="J175" s="2">
        <f t="shared" si="55"/>
        <v>73426.173754529678</v>
      </c>
      <c r="K175" s="2" t="e">
        <f t="shared" si="74"/>
        <v>#VALUE!</v>
      </c>
      <c r="L175" s="9">
        <v>1.6821425527395739E-3</v>
      </c>
      <c r="M175" s="2" t="e">
        <f t="shared" si="56"/>
        <v>#VALUE!</v>
      </c>
      <c r="N175" s="3">
        <f t="shared" si="57"/>
        <v>0.04</v>
      </c>
      <c r="O175" s="2" t="e">
        <f t="shared" si="58"/>
        <v>#VALUE!</v>
      </c>
      <c r="P175" s="10">
        <f t="shared" si="50"/>
        <v>0.73426173754529678</v>
      </c>
      <c r="Q175" s="13"/>
      <c r="R175" s="2" t="e">
        <f t="shared" si="71"/>
        <v>#VALUE!</v>
      </c>
      <c r="S175" s="2" t="e">
        <f t="shared" si="72"/>
        <v>#VALUE!</v>
      </c>
      <c r="T175" s="2" t="e">
        <f t="shared" ca="1" si="59"/>
        <v>#VALUE!</v>
      </c>
      <c r="U175" s="2" t="e">
        <f t="shared" si="73"/>
        <v>#VALUE!</v>
      </c>
      <c r="V175" s="2" t="e">
        <f t="shared" si="60"/>
        <v>#VALUE!</v>
      </c>
      <c r="W175" s="2">
        <f t="shared" si="61"/>
        <v>477.4153</v>
      </c>
      <c r="X175" s="2" t="e">
        <f t="shared" ca="1" si="62"/>
        <v>#VALUE!</v>
      </c>
      <c r="Y175" s="2" t="e">
        <f t="shared" ca="1" si="63"/>
        <v>#VALUE!</v>
      </c>
      <c r="Z175" s="10">
        <f t="shared" si="64"/>
        <v>0.61927751846537826</v>
      </c>
      <c r="AA175" s="10" t="e">
        <f t="shared" ca="1" si="51"/>
        <v>#VALUE!</v>
      </c>
      <c r="AB175" s="11" t="e">
        <f t="shared" si="65"/>
        <v>#VALUE!</v>
      </c>
      <c r="AC175" s="11" t="e">
        <f>SUM($S$31:S175)/$V$31</f>
        <v>#VALUE!</v>
      </c>
      <c r="AD175" s="11" t="e">
        <f>SUM($S$31:S175,$R$31:R175,$T$31:T175)/$V$31</f>
        <v>#VALUE!</v>
      </c>
      <c r="AE175" s="11" t="e">
        <f>SUM($M$31:M175)/$V$31</f>
        <v>#VALUE!</v>
      </c>
      <c r="AF175" s="11" t="e">
        <f ca="1">SUM(SUM($M$31:M175),-SUM($T$31:T175))/$V$31</f>
        <v>#VALUE!</v>
      </c>
      <c r="AG175">
        <f t="shared" si="52"/>
        <v>20880</v>
      </c>
    </row>
    <row r="176" spans="2:33" x14ac:dyDescent="0.15">
      <c r="B176" s="1">
        <f t="shared" si="66"/>
        <v>145</v>
      </c>
      <c r="C176" s="1">
        <f t="shared" si="53"/>
        <v>145</v>
      </c>
      <c r="D176" s="25">
        <v>3.8739362058710099E-2</v>
      </c>
      <c r="E176" s="2">
        <f t="shared" si="54"/>
        <v>73426.173754529678</v>
      </c>
      <c r="F176" s="3">
        <f t="shared" si="67"/>
        <v>0.04</v>
      </c>
      <c r="G176" s="2">
        <f t="shared" si="68"/>
        <v>477.4153</v>
      </c>
      <c r="H176" s="2">
        <f t="shared" si="69"/>
        <v>244.75391251509893</v>
      </c>
      <c r="I176" s="2">
        <f t="shared" si="70"/>
        <v>232.66138748490107</v>
      </c>
      <c r="J176" s="2">
        <f t="shared" si="55"/>
        <v>73193.512367044779</v>
      </c>
      <c r="K176" s="2" t="e">
        <f t="shared" si="74"/>
        <v>#VALUE!</v>
      </c>
      <c r="L176" s="9">
        <v>1.6821425527395739E-3</v>
      </c>
      <c r="M176" s="2" t="e">
        <f t="shared" si="56"/>
        <v>#VALUE!</v>
      </c>
      <c r="N176" s="3">
        <f t="shared" si="57"/>
        <v>0.04</v>
      </c>
      <c r="O176" s="2" t="e">
        <f t="shared" si="58"/>
        <v>#VALUE!</v>
      </c>
      <c r="P176" s="10">
        <f t="shared" si="50"/>
        <v>0.73193512367044777</v>
      </c>
      <c r="Q176" s="13"/>
      <c r="R176" s="2" t="e">
        <f t="shared" si="71"/>
        <v>#VALUE!</v>
      </c>
      <c r="S176" s="2" t="e">
        <f t="shared" si="72"/>
        <v>#VALUE!</v>
      </c>
      <c r="T176" s="2" t="e">
        <f t="shared" ca="1" si="59"/>
        <v>#VALUE!</v>
      </c>
      <c r="U176" s="2" t="e">
        <f t="shared" si="73"/>
        <v>#VALUE!</v>
      </c>
      <c r="V176" s="2" t="e">
        <f t="shared" si="60"/>
        <v>#VALUE!</v>
      </c>
      <c r="W176" s="2">
        <f t="shared" si="61"/>
        <v>477.4153</v>
      </c>
      <c r="X176" s="2" t="e">
        <f t="shared" ca="1" si="62"/>
        <v>#VALUE!</v>
      </c>
      <c r="Y176" s="2" t="e">
        <f t="shared" ca="1" si="63"/>
        <v>#VALUE!</v>
      </c>
      <c r="Z176" s="10">
        <f t="shared" si="64"/>
        <v>0.61722011807233201</v>
      </c>
      <c r="AA176" s="10" t="e">
        <f t="shared" ca="1" si="51"/>
        <v>#VALUE!</v>
      </c>
      <c r="AB176" s="11" t="e">
        <f t="shared" si="65"/>
        <v>#VALUE!</v>
      </c>
      <c r="AC176" s="11" t="e">
        <f>SUM($S$31:S176)/$V$31</f>
        <v>#VALUE!</v>
      </c>
      <c r="AD176" s="11" t="e">
        <f>SUM($S$31:S176,$R$31:R176,$T$31:T176)/$V$31</f>
        <v>#VALUE!</v>
      </c>
      <c r="AE176" s="11" t="e">
        <f>SUM($M$31:M176)/$V$31</f>
        <v>#VALUE!</v>
      </c>
      <c r="AF176" s="11" t="e">
        <f ca="1">SUM(SUM($M$31:M176),-SUM($T$31:T176))/$V$31</f>
        <v>#VALUE!</v>
      </c>
      <c r="AG176">
        <f t="shared" si="52"/>
        <v>21170</v>
      </c>
    </row>
    <row r="177" spans="2:33" x14ac:dyDescent="0.15">
      <c r="B177" s="1">
        <f t="shared" si="66"/>
        <v>146</v>
      </c>
      <c r="C177" s="1">
        <f t="shared" si="53"/>
        <v>146</v>
      </c>
      <c r="D177" s="25">
        <v>3.8763887891080401E-2</v>
      </c>
      <c r="E177" s="2">
        <f t="shared" si="54"/>
        <v>73193.512367044779</v>
      </c>
      <c r="F177" s="3">
        <f t="shared" si="67"/>
        <v>0.04</v>
      </c>
      <c r="G177" s="2">
        <f t="shared" si="68"/>
        <v>477.4153</v>
      </c>
      <c r="H177" s="2">
        <f t="shared" si="69"/>
        <v>243.97837455681594</v>
      </c>
      <c r="I177" s="2">
        <f t="shared" si="70"/>
        <v>233.43692544318407</v>
      </c>
      <c r="J177" s="2">
        <f t="shared" si="55"/>
        <v>72960.075441601599</v>
      </c>
      <c r="K177" s="2" t="e">
        <f t="shared" si="74"/>
        <v>#VALUE!</v>
      </c>
      <c r="L177" s="9">
        <v>1.6821425527395739E-3</v>
      </c>
      <c r="M177" s="2" t="e">
        <f t="shared" si="56"/>
        <v>#VALUE!</v>
      </c>
      <c r="N177" s="3">
        <f t="shared" si="57"/>
        <v>0.04</v>
      </c>
      <c r="O177" s="2" t="e">
        <f t="shared" si="58"/>
        <v>#VALUE!</v>
      </c>
      <c r="P177" s="10">
        <f t="shared" si="50"/>
        <v>0.72960075441601602</v>
      </c>
      <c r="Q177" s="13"/>
      <c r="R177" s="2" t="e">
        <f t="shared" si="71"/>
        <v>#VALUE!</v>
      </c>
      <c r="S177" s="2" t="e">
        <f t="shared" si="72"/>
        <v>#VALUE!</v>
      </c>
      <c r="T177" s="2" t="e">
        <f t="shared" ca="1" si="59"/>
        <v>#VALUE!</v>
      </c>
      <c r="U177" s="2" t="e">
        <f t="shared" si="73"/>
        <v>#VALUE!</v>
      </c>
      <c r="V177" s="2" t="e">
        <f t="shared" si="60"/>
        <v>#VALUE!</v>
      </c>
      <c r="W177" s="2">
        <f t="shared" si="61"/>
        <v>477.4153</v>
      </c>
      <c r="X177" s="2" t="e">
        <f t="shared" ca="1" si="62"/>
        <v>#VALUE!</v>
      </c>
      <c r="Y177" s="2" t="e">
        <f t="shared" ca="1" si="63"/>
        <v>#VALUE!</v>
      </c>
      <c r="Z177" s="10">
        <f t="shared" si="64"/>
        <v>0.61516955289653652</v>
      </c>
      <c r="AA177" s="10" t="e">
        <f t="shared" ca="1" si="51"/>
        <v>#VALUE!</v>
      </c>
      <c r="AB177" s="11" t="e">
        <f t="shared" si="65"/>
        <v>#VALUE!</v>
      </c>
      <c r="AC177" s="11" t="e">
        <f>SUM($S$31:S177)/$V$31</f>
        <v>#VALUE!</v>
      </c>
      <c r="AD177" s="11" t="e">
        <f>SUM($S$31:S177,$R$31:R177,$T$31:T177)/$V$31</f>
        <v>#VALUE!</v>
      </c>
      <c r="AE177" s="11" t="e">
        <f>SUM($M$31:M177)/$V$31</f>
        <v>#VALUE!</v>
      </c>
      <c r="AF177" s="11" t="e">
        <f ca="1">SUM(SUM($M$31:M177),-SUM($T$31:T177))/$V$31</f>
        <v>#VALUE!</v>
      </c>
      <c r="AG177">
        <f t="shared" si="52"/>
        <v>21462</v>
      </c>
    </row>
    <row r="178" spans="2:33" x14ac:dyDescent="0.15">
      <c r="B178" s="1">
        <f t="shared" si="66"/>
        <v>147</v>
      </c>
      <c r="C178" s="1">
        <f t="shared" si="53"/>
        <v>147</v>
      </c>
      <c r="D178" s="25">
        <v>3.87784830172083E-2</v>
      </c>
      <c r="E178" s="2">
        <f t="shared" si="54"/>
        <v>72960.075441601599</v>
      </c>
      <c r="F178" s="3">
        <f t="shared" si="67"/>
        <v>0.04</v>
      </c>
      <c r="G178" s="2">
        <f t="shared" si="68"/>
        <v>477.4153</v>
      </c>
      <c r="H178" s="2">
        <f t="shared" si="69"/>
        <v>243.20025147200533</v>
      </c>
      <c r="I178" s="2">
        <f t="shared" si="70"/>
        <v>234.21504852799467</v>
      </c>
      <c r="J178" s="2">
        <f t="shared" si="55"/>
        <v>72725.860393073599</v>
      </c>
      <c r="K178" s="2" t="e">
        <f t="shared" si="74"/>
        <v>#VALUE!</v>
      </c>
      <c r="L178" s="9">
        <v>1.6821425527395739E-3</v>
      </c>
      <c r="M178" s="2" t="e">
        <f t="shared" si="56"/>
        <v>#VALUE!</v>
      </c>
      <c r="N178" s="3">
        <f t="shared" si="57"/>
        <v>0.04</v>
      </c>
      <c r="O178" s="2" t="e">
        <f t="shared" si="58"/>
        <v>#VALUE!</v>
      </c>
      <c r="P178" s="10">
        <f t="shared" si="50"/>
        <v>0.72725860393073594</v>
      </c>
      <c r="Q178" s="13"/>
      <c r="R178" s="2" t="e">
        <f t="shared" si="71"/>
        <v>#VALUE!</v>
      </c>
      <c r="S178" s="2" t="e">
        <f t="shared" si="72"/>
        <v>#VALUE!</v>
      </c>
      <c r="T178" s="2" t="e">
        <f t="shared" ca="1" si="59"/>
        <v>#VALUE!</v>
      </c>
      <c r="U178" s="2" t="e">
        <f t="shared" si="73"/>
        <v>#VALUE!</v>
      </c>
      <c r="V178" s="2" t="e">
        <f t="shared" si="60"/>
        <v>#VALUE!</v>
      </c>
      <c r="W178" s="2">
        <f t="shared" si="61"/>
        <v>477.4153</v>
      </c>
      <c r="X178" s="2" t="e">
        <f t="shared" ca="1" si="62"/>
        <v>#VALUE!</v>
      </c>
      <c r="Y178" s="2" t="e">
        <f t="shared" ca="1" si="63"/>
        <v>#VALUE!</v>
      </c>
      <c r="Z178" s="10">
        <f t="shared" si="64"/>
        <v>0.61312580022962926</v>
      </c>
      <c r="AA178" s="10" t="e">
        <f t="shared" ca="1" si="51"/>
        <v>#VALUE!</v>
      </c>
      <c r="AB178" s="11" t="e">
        <f t="shared" si="65"/>
        <v>#VALUE!</v>
      </c>
      <c r="AC178" s="11" t="e">
        <f>SUM($S$31:S178)/$V$31</f>
        <v>#VALUE!</v>
      </c>
      <c r="AD178" s="11" t="e">
        <f>SUM($S$31:S178,$R$31:R178,$T$31:T178)/$V$31</f>
        <v>#VALUE!</v>
      </c>
      <c r="AE178" s="11" t="e">
        <f>SUM($M$31:M178)/$V$31</f>
        <v>#VALUE!</v>
      </c>
      <c r="AF178" s="11" t="e">
        <f ca="1">SUM(SUM($M$31:M178),-SUM($T$31:T178))/$V$31</f>
        <v>#VALUE!</v>
      </c>
      <c r="AG178">
        <f t="shared" si="52"/>
        <v>21756</v>
      </c>
    </row>
    <row r="179" spans="2:33" x14ac:dyDescent="0.15">
      <c r="B179" s="1">
        <f t="shared" si="66"/>
        <v>148</v>
      </c>
      <c r="C179" s="1">
        <f t="shared" si="53"/>
        <v>148</v>
      </c>
      <c r="D179" s="25">
        <v>3.8795098698740295E-2</v>
      </c>
      <c r="E179" s="2">
        <f t="shared" si="54"/>
        <v>72725.860393073599</v>
      </c>
      <c r="F179" s="3">
        <f t="shared" si="67"/>
        <v>0.04</v>
      </c>
      <c r="G179" s="2">
        <f t="shared" si="68"/>
        <v>477.4153</v>
      </c>
      <c r="H179" s="2">
        <f t="shared" si="69"/>
        <v>242.41953464357869</v>
      </c>
      <c r="I179" s="2">
        <f t="shared" si="70"/>
        <v>234.99576535642132</v>
      </c>
      <c r="J179" s="2">
        <f t="shared" si="55"/>
        <v>72490.864627717179</v>
      </c>
      <c r="K179" s="2" t="e">
        <f t="shared" si="74"/>
        <v>#VALUE!</v>
      </c>
      <c r="L179" s="9">
        <v>1.6821425527395739E-3</v>
      </c>
      <c r="M179" s="2" t="e">
        <f t="shared" si="56"/>
        <v>#VALUE!</v>
      </c>
      <c r="N179" s="3">
        <f t="shared" si="57"/>
        <v>0.04</v>
      </c>
      <c r="O179" s="2" t="e">
        <f t="shared" si="58"/>
        <v>#VALUE!</v>
      </c>
      <c r="P179" s="10">
        <f t="shared" si="50"/>
        <v>0.72490864627717178</v>
      </c>
      <c r="Q179" s="13"/>
      <c r="R179" s="2" t="e">
        <f t="shared" si="71"/>
        <v>#VALUE!</v>
      </c>
      <c r="S179" s="2" t="e">
        <f t="shared" si="72"/>
        <v>#VALUE!</v>
      </c>
      <c r="T179" s="2" t="e">
        <f t="shared" ca="1" si="59"/>
        <v>#VALUE!</v>
      </c>
      <c r="U179" s="2" t="e">
        <f t="shared" si="73"/>
        <v>#VALUE!</v>
      </c>
      <c r="V179" s="2" t="e">
        <f t="shared" si="60"/>
        <v>#VALUE!</v>
      </c>
      <c r="W179" s="2">
        <f t="shared" si="61"/>
        <v>477.4153</v>
      </c>
      <c r="X179" s="2" t="e">
        <f t="shared" ca="1" si="62"/>
        <v>#VALUE!</v>
      </c>
      <c r="Y179" s="2" t="e">
        <f t="shared" ca="1" si="63"/>
        <v>#VALUE!</v>
      </c>
      <c r="Z179" s="10">
        <f t="shared" si="64"/>
        <v>0.6110888374386898</v>
      </c>
      <c r="AA179" s="10" t="e">
        <f t="shared" ca="1" si="51"/>
        <v>#VALUE!</v>
      </c>
      <c r="AB179" s="11" t="e">
        <f t="shared" si="65"/>
        <v>#VALUE!</v>
      </c>
      <c r="AC179" s="11" t="e">
        <f>SUM($S$31:S179)/$V$31</f>
        <v>#VALUE!</v>
      </c>
      <c r="AD179" s="11" t="e">
        <f>SUM($S$31:S179,$R$31:R179,$T$31:T179)/$V$31</f>
        <v>#VALUE!</v>
      </c>
      <c r="AE179" s="11" t="e">
        <f>SUM($M$31:M179)/$V$31</f>
        <v>#VALUE!</v>
      </c>
      <c r="AF179" s="11" t="e">
        <f ca="1">SUM(SUM($M$31:M179),-SUM($T$31:T179))/$V$31</f>
        <v>#VALUE!</v>
      </c>
      <c r="AG179">
        <f t="shared" si="52"/>
        <v>22052</v>
      </c>
    </row>
    <row r="180" spans="2:33" x14ac:dyDescent="0.15">
      <c r="B180" s="1">
        <f t="shared" si="66"/>
        <v>149</v>
      </c>
      <c r="C180" s="1">
        <f t="shared" si="53"/>
        <v>149</v>
      </c>
      <c r="D180" s="25">
        <v>3.8805321222060797E-2</v>
      </c>
      <c r="E180" s="2">
        <f t="shared" si="54"/>
        <v>72490.864627717179</v>
      </c>
      <c r="F180" s="3">
        <f t="shared" si="67"/>
        <v>0.04</v>
      </c>
      <c r="G180" s="2">
        <f t="shared" si="68"/>
        <v>477.4153</v>
      </c>
      <c r="H180" s="2">
        <f t="shared" si="69"/>
        <v>241.63621542572395</v>
      </c>
      <c r="I180" s="2">
        <f t="shared" si="70"/>
        <v>235.77908457427606</v>
      </c>
      <c r="J180" s="2">
        <f t="shared" si="55"/>
        <v>72255.085543142908</v>
      </c>
      <c r="K180" s="2" t="e">
        <f t="shared" si="74"/>
        <v>#VALUE!</v>
      </c>
      <c r="L180" s="9">
        <v>1.6821425527395739E-3</v>
      </c>
      <c r="M180" s="2" t="e">
        <f t="shared" si="56"/>
        <v>#VALUE!</v>
      </c>
      <c r="N180" s="3">
        <f t="shared" si="57"/>
        <v>0.04</v>
      </c>
      <c r="O180" s="2" t="e">
        <f t="shared" si="58"/>
        <v>#VALUE!</v>
      </c>
      <c r="P180" s="10">
        <f t="shared" si="50"/>
        <v>0.72255085543142905</v>
      </c>
      <c r="Q180" s="13"/>
      <c r="R180" s="2" t="e">
        <f t="shared" si="71"/>
        <v>#VALUE!</v>
      </c>
      <c r="S180" s="2" t="e">
        <f t="shared" si="72"/>
        <v>#VALUE!</v>
      </c>
      <c r="T180" s="2" t="e">
        <f t="shared" ca="1" si="59"/>
        <v>#VALUE!</v>
      </c>
      <c r="U180" s="2" t="e">
        <f t="shared" si="73"/>
        <v>#VALUE!</v>
      </c>
      <c r="V180" s="2" t="e">
        <f t="shared" si="60"/>
        <v>#VALUE!</v>
      </c>
      <c r="W180" s="2">
        <f t="shared" si="61"/>
        <v>477.4153</v>
      </c>
      <c r="X180" s="2" t="e">
        <f t="shared" ca="1" si="62"/>
        <v>#VALUE!</v>
      </c>
      <c r="Y180" s="2" t="e">
        <f t="shared" ca="1" si="63"/>
        <v>#VALUE!</v>
      </c>
      <c r="Z180" s="10">
        <f t="shared" si="64"/>
        <v>0.60905864196599102</v>
      </c>
      <c r="AA180" s="10" t="e">
        <f t="shared" ca="1" si="51"/>
        <v>#VALUE!</v>
      </c>
      <c r="AB180" s="11" t="e">
        <f t="shared" si="65"/>
        <v>#VALUE!</v>
      </c>
      <c r="AC180" s="11" t="e">
        <f>SUM($S$31:S180)/$V$31</f>
        <v>#VALUE!</v>
      </c>
      <c r="AD180" s="11" t="e">
        <f>SUM($S$31:S180,$R$31:R180,$T$31:T180)/$V$31</f>
        <v>#VALUE!</v>
      </c>
      <c r="AE180" s="11" t="e">
        <f>SUM($M$31:M180)/$V$31</f>
        <v>#VALUE!</v>
      </c>
      <c r="AF180" s="11" t="e">
        <f ca="1">SUM(SUM($M$31:M180),-SUM($T$31:T180))/$V$31</f>
        <v>#VALUE!</v>
      </c>
      <c r="AG180">
        <f t="shared" si="52"/>
        <v>22350</v>
      </c>
    </row>
    <row r="181" spans="2:33" x14ac:dyDescent="0.15">
      <c r="B181" s="1">
        <f t="shared" si="66"/>
        <v>150</v>
      </c>
      <c r="C181" s="1">
        <f t="shared" si="53"/>
        <v>150</v>
      </c>
      <c r="D181" s="25">
        <v>3.8817570091255103E-2</v>
      </c>
      <c r="E181" s="2">
        <f t="shared" si="54"/>
        <v>72255.085543142908</v>
      </c>
      <c r="F181" s="3">
        <f t="shared" si="67"/>
        <v>0.04</v>
      </c>
      <c r="G181" s="2">
        <f t="shared" si="68"/>
        <v>477.4153</v>
      </c>
      <c r="H181" s="2">
        <f t="shared" si="69"/>
        <v>240.85028514380971</v>
      </c>
      <c r="I181" s="2">
        <f t="shared" si="70"/>
        <v>236.56501485619029</v>
      </c>
      <c r="J181" s="2">
        <f t="shared" si="55"/>
        <v>72018.520528286725</v>
      </c>
      <c r="K181" s="2" t="e">
        <f t="shared" si="74"/>
        <v>#VALUE!</v>
      </c>
      <c r="L181" s="9">
        <v>1.6821425527395739E-3</v>
      </c>
      <c r="M181" s="2" t="e">
        <f t="shared" si="56"/>
        <v>#VALUE!</v>
      </c>
      <c r="N181" s="3">
        <f t="shared" si="57"/>
        <v>0.04</v>
      </c>
      <c r="O181" s="2" t="e">
        <f t="shared" si="58"/>
        <v>#VALUE!</v>
      </c>
      <c r="P181" s="10">
        <f t="shared" si="50"/>
        <v>0.72018520528286722</v>
      </c>
      <c r="Q181" s="13"/>
      <c r="R181" s="2" t="e">
        <f t="shared" si="71"/>
        <v>#VALUE!</v>
      </c>
      <c r="S181" s="2" t="e">
        <f t="shared" si="72"/>
        <v>#VALUE!</v>
      </c>
      <c r="T181" s="2" t="e">
        <f t="shared" ca="1" si="59"/>
        <v>#VALUE!</v>
      </c>
      <c r="U181" s="2" t="e">
        <f t="shared" si="73"/>
        <v>#VALUE!</v>
      </c>
      <c r="V181" s="2" t="e">
        <f t="shared" si="60"/>
        <v>#VALUE!</v>
      </c>
      <c r="W181" s="2">
        <f t="shared" si="61"/>
        <v>477.4153</v>
      </c>
      <c r="X181" s="2" t="e">
        <f t="shared" ca="1" si="62"/>
        <v>#VALUE!</v>
      </c>
      <c r="Y181" s="2" t="e">
        <f t="shared" ca="1" si="63"/>
        <v>#VALUE!</v>
      </c>
      <c r="Z181" s="10">
        <f t="shared" si="64"/>
        <v>0.60703519132874795</v>
      </c>
      <c r="AA181" s="10" t="e">
        <f t="shared" ca="1" si="51"/>
        <v>#VALUE!</v>
      </c>
      <c r="AB181" s="11" t="e">
        <f t="shared" si="65"/>
        <v>#VALUE!</v>
      </c>
      <c r="AC181" s="11" t="e">
        <f>SUM($S$31:S181)/$V$31</f>
        <v>#VALUE!</v>
      </c>
      <c r="AD181" s="11" t="e">
        <f>SUM($S$31:S181,$R$31:R181,$T$31:T181)/$V$31</f>
        <v>#VALUE!</v>
      </c>
      <c r="AE181" s="11" t="e">
        <f>SUM($M$31:M181)/$V$31</f>
        <v>#VALUE!</v>
      </c>
      <c r="AF181" s="11" t="e">
        <f ca="1">SUM(SUM($M$31:M181),-SUM($T$31:T181))/$V$31</f>
        <v>#VALUE!</v>
      </c>
      <c r="AG181">
        <f t="shared" si="52"/>
        <v>22650</v>
      </c>
    </row>
    <row r="182" spans="2:33" x14ac:dyDescent="0.15">
      <c r="B182" s="1">
        <f t="shared" si="66"/>
        <v>151</v>
      </c>
      <c r="C182" s="1">
        <f t="shared" si="53"/>
        <v>151</v>
      </c>
      <c r="D182" s="25">
        <v>3.88256407534621E-2</v>
      </c>
      <c r="E182" s="2">
        <f t="shared" si="54"/>
        <v>72018.520528286725</v>
      </c>
      <c r="F182" s="3">
        <f t="shared" si="67"/>
        <v>0.04</v>
      </c>
      <c r="G182" s="2">
        <f t="shared" si="68"/>
        <v>477.4153</v>
      </c>
      <c r="H182" s="2">
        <f t="shared" si="69"/>
        <v>240.06173509428911</v>
      </c>
      <c r="I182" s="2">
        <f t="shared" si="70"/>
        <v>237.3535649057109</v>
      </c>
      <c r="J182" s="2">
        <f t="shared" si="55"/>
        <v>71781.166963381009</v>
      </c>
      <c r="K182" s="2" t="e">
        <f t="shared" si="74"/>
        <v>#VALUE!</v>
      </c>
      <c r="L182" s="9">
        <v>1.6821425527395739E-3</v>
      </c>
      <c r="M182" s="2" t="e">
        <f t="shared" si="56"/>
        <v>#VALUE!</v>
      </c>
      <c r="N182" s="3">
        <f t="shared" si="57"/>
        <v>0.04</v>
      </c>
      <c r="O182" s="2" t="e">
        <f t="shared" si="58"/>
        <v>#VALUE!</v>
      </c>
      <c r="P182" s="10">
        <f t="shared" si="50"/>
        <v>0.71781166963381005</v>
      </c>
      <c r="Q182" s="13"/>
      <c r="R182" s="2" t="e">
        <f t="shared" si="71"/>
        <v>#VALUE!</v>
      </c>
      <c r="S182" s="2" t="e">
        <f t="shared" si="72"/>
        <v>#VALUE!</v>
      </c>
      <c r="T182" s="2" t="e">
        <f t="shared" ca="1" si="59"/>
        <v>#VALUE!</v>
      </c>
      <c r="U182" s="2" t="e">
        <f t="shared" si="73"/>
        <v>#VALUE!</v>
      </c>
      <c r="V182" s="2" t="e">
        <f t="shared" si="60"/>
        <v>#VALUE!</v>
      </c>
      <c r="W182" s="2">
        <f t="shared" si="61"/>
        <v>477.4153</v>
      </c>
      <c r="X182" s="2" t="e">
        <f t="shared" ca="1" si="62"/>
        <v>#VALUE!</v>
      </c>
      <c r="Y182" s="2" t="e">
        <f t="shared" ca="1" si="63"/>
        <v>#VALUE!</v>
      </c>
      <c r="Z182" s="10">
        <f t="shared" si="64"/>
        <v>0.60501846311886942</v>
      </c>
      <c r="AA182" s="10" t="e">
        <f t="shared" ca="1" si="51"/>
        <v>#VALUE!</v>
      </c>
      <c r="AB182" s="11" t="e">
        <f t="shared" si="65"/>
        <v>#VALUE!</v>
      </c>
      <c r="AC182" s="11" t="e">
        <f>SUM($S$31:S182)/$V$31</f>
        <v>#VALUE!</v>
      </c>
      <c r="AD182" s="11" t="e">
        <f>SUM($S$31:S182,$R$31:R182,$T$31:T182)/$V$31</f>
        <v>#VALUE!</v>
      </c>
      <c r="AE182" s="11" t="e">
        <f>SUM($M$31:M182)/$V$31</f>
        <v>#VALUE!</v>
      </c>
      <c r="AF182" s="11" t="e">
        <f ca="1">SUM(SUM($M$31:M182),-SUM($T$31:T182))/$V$31</f>
        <v>#VALUE!</v>
      </c>
      <c r="AG182">
        <f t="shared" si="52"/>
        <v>22952</v>
      </c>
    </row>
    <row r="183" spans="2:33" x14ac:dyDescent="0.15">
      <c r="B183" s="1">
        <f t="shared" si="66"/>
        <v>152</v>
      </c>
      <c r="C183" s="1">
        <f t="shared" si="53"/>
        <v>152</v>
      </c>
      <c r="D183" s="25">
        <v>3.8829270268234899E-2</v>
      </c>
      <c r="E183" s="2">
        <f t="shared" si="54"/>
        <v>71781.166963381009</v>
      </c>
      <c r="F183" s="3">
        <f t="shared" si="67"/>
        <v>0.04</v>
      </c>
      <c r="G183" s="2">
        <f t="shared" si="68"/>
        <v>477.4153</v>
      </c>
      <c r="H183" s="2">
        <f t="shared" si="69"/>
        <v>239.27055654460338</v>
      </c>
      <c r="I183" s="2">
        <f t="shared" si="70"/>
        <v>238.14474345539662</v>
      </c>
      <c r="J183" s="2">
        <f t="shared" si="55"/>
        <v>71543.02221992561</v>
      </c>
      <c r="K183" s="2" t="e">
        <f t="shared" si="74"/>
        <v>#VALUE!</v>
      </c>
      <c r="L183" s="9">
        <v>1.6821425527395739E-3</v>
      </c>
      <c r="M183" s="2" t="e">
        <f t="shared" si="56"/>
        <v>#VALUE!</v>
      </c>
      <c r="N183" s="3">
        <f t="shared" si="57"/>
        <v>0.04</v>
      </c>
      <c r="O183" s="2" t="e">
        <f t="shared" si="58"/>
        <v>#VALUE!</v>
      </c>
      <c r="P183" s="10">
        <f t="shared" si="50"/>
        <v>0.71543022219925612</v>
      </c>
      <c r="Q183" s="13"/>
      <c r="R183" s="2" t="e">
        <f t="shared" si="71"/>
        <v>#VALUE!</v>
      </c>
      <c r="S183" s="2" t="e">
        <f t="shared" si="72"/>
        <v>#VALUE!</v>
      </c>
      <c r="T183" s="2" t="e">
        <f t="shared" ca="1" si="59"/>
        <v>#VALUE!</v>
      </c>
      <c r="U183" s="2" t="e">
        <f t="shared" si="73"/>
        <v>#VALUE!</v>
      </c>
      <c r="V183" s="2" t="e">
        <f t="shared" si="60"/>
        <v>#VALUE!</v>
      </c>
      <c r="W183" s="2">
        <f t="shared" si="61"/>
        <v>477.4153</v>
      </c>
      <c r="X183" s="2" t="e">
        <f t="shared" ca="1" si="62"/>
        <v>#VALUE!</v>
      </c>
      <c r="Y183" s="2" t="e">
        <f t="shared" ca="1" si="63"/>
        <v>#VALUE!</v>
      </c>
      <c r="Z183" s="10">
        <f t="shared" si="64"/>
        <v>0.60300843500270973</v>
      </c>
      <c r="AA183" s="10" t="e">
        <f t="shared" ca="1" si="51"/>
        <v>#VALUE!</v>
      </c>
      <c r="AB183" s="11" t="e">
        <f t="shared" si="65"/>
        <v>#VALUE!</v>
      </c>
      <c r="AC183" s="11" t="e">
        <f>SUM($S$31:S183)/$V$31</f>
        <v>#VALUE!</v>
      </c>
      <c r="AD183" s="11" t="e">
        <f>SUM($S$31:S183,$R$31:R183,$T$31:T183)/$V$31</f>
        <v>#VALUE!</v>
      </c>
      <c r="AE183" s="11" t="e">
        <f>SUM($M$31:M183)/$V$31</f>
        <v>#VALUE!</v>
      </c>
      <c r="AF183" s="11" t="e">
        <f ca="1">SUM(SUM($M$31:M183),-SUM($T$31:T183))/$V$31</f>
        <v>#VALUE!</v>
      </c>
      <c r="AG183">
        <f t="shared" si="52"/>
        <v>23256</v>
      </c>
    </row>
    <row r="184" spans="2:33" x14ac:dyDescent="0.15">
      <c r="B184" s="1">
        <f t="shared" si="66"/>
        <v>153</v>
      </c>
      <c r="C184" s="1">
        <f t="shared" si="53"/>
        <v>153</v>
      </c>
      <c r="D184" s="25">
        <v>3.8834931299365702E-2</v>
      </c>
      <c r="E184" s="2">
        <f t="shared" si="54"/>
        <v>71543.02221992561</v>
      </c>
      <c r="F184" s="3">
        <f t="shared" si="67"/>
        <v>0.04</v>
      </c>
      <c r="G184" s="2">
        <f t="shared" si="68"/>
        <v>477.4153</v>
      </c>
      <c r="H184" s="2">
        <f t="shared" si="69"/>
        <v>238.47674073308539</v>
      </c>
      <c r="I184" s="2">
        <f t="shared" si="70"/>
        <v>238.93855926691461</v>
      </c>
      <c r="J184" s="2">
        <f t="shared" si="55"/>
        <v>71304.083660658696</v>
      </c>
      <c r="K184" s="2" t="e">
        <f t="shared" si="74"/>
        <v>#VALUE!</v>
      </c>
      <c r="L184" s="9">
        <v>1.6821425527395739E-3</v>
      </c>
      <c r="M184" s="2" t="e">
        <f t="shared" si="56"/>
        <v>#VALUE!</v>
      </c>
      <c r="N184" s="3">
        <f t="shared" si="57"/>
        <v>0.04</v>
      </c>
      <c r="O184" s="2" t="e">
        <f t="shared" si="58"/>
        <v>#VALUE!</v>
      </c>
      <c r="P184" s="10">
        <f t="shared" si="50"/>
        <v>0.71304083660658701</v>
      </c>
      <c r="Q184" s="13"/>
      <c r="R184" s="2" t="e">
        <f t="shared" si="71"/>
        <v>#VALUE!</v>
      </c>
      <c r="S184" s="2" t="e">
        <f t="shared" si="72"/>
        <v>#VALUE!</v>
      </c>
      <c r="T184" s="2" t="e">
        <f t="shared" ca="1" si="59"/>
        <v>#VALUE!</v>
      </c>
      <c r="U184" s="2" t="e">
        <f t="shared" si="73"/>
        <v>#VALUE!</v>
      </c>
      <c r="V184" s="2" t="e">
        <f t="shared" si="60"/>
        <v>#VALUE!</v>
      </c>
      <c r="W184" s="2">
        <f t="shared" si="61"/>
        <v>477.4153</v>
      </c>
      <c r="X184" s="2" t="e">
        <f t="shared" ca="1" si="62"/>
        <v>#VALUE!</v>
      </c>
      <c r="Y184" s="2" t="e">
        <f t="shared" ca="1" si="63"/>
        <v>#VALUE!</v>
      </c>
      <c r="Z184" s="10">
        <f t="shared" si="64"/>
        <v>0.60100508472082115</v>
      </c>
      <c r="AA184" s="10" t="e">
        <f t="shared" ca="1" si="51"/>
        <v>#VALUE!</v>
      </c>
      <c r="AB184" s="11" t="e">
        <f t="shared" si="65"/>
        <v>#VALUE!</v>
      </c>
      <c r="AC184" s="11" t="e">
        <f>SUM($S$31:S184)/$V$31</f>
        <v>#VALUE!</v>
      </c>
      <c r="AD184" s="11" t="e">
        <f>SUM($S$31:S184,$R$31:R184,$T$31:T184)/$V$31</f>
        <v>#VALUE!</v>
      </c>
      <c r="AE184" s="11" t="e">
        <f>SUM($M$31:M184)/$V$31</f>
        <v>#VALUE!</v>
      </c>
      <c r="AF184" s="11" t="e">
        <f ca="1">SUM(SUM($M$31:M184),-SUM($T$31:T184))/$V$31</f>
        <v>#VALUE!</v>
      </c>
      <c r="AG184">
        <f t="shared" si="52"/>
        <v>23562</v>
      </c>
    </row>
    <row r="185" spans="2:33" x14ac:dyDescent="0.15">
      <c r="B185" s="1">
        <f t="shared" si="66"/>
        <v>154</v>
      </c>
      <c r="C185" s="1">
        <f t="shared" si="53"/>
        <v>154</v>
      </c>
      <c r="D185" s="25">
        <v>3.8834190530422003E-2</v>
      </c>
      <c r="E185" s="2">
        <f t="shared" si="54"/>
        <v>71304.083660658696</v>
      </c>
      <c r="F185" s="3">
        <f t="shared" si="67"/>
        <v>0.04</v>
      </c>
      <c r="G185" s="2">
        <f t="shared" si="68"/>
        <v>477.4153</v>
      </c>
      <c r="H185" s="2">
        <f t="shared" si="69"/>
        <v>237.68027886886233</v>
      </c>
      <c r="I185" s="2">
        <f t="shared" si="70"/>
        <v>239.73502113113767</v>
      </c>
      <c r="J185" s="2">
        <f t="shared" si="55"/>
        <v>71064.348639527554</v>
      </c>
      <c r="K185" s="2" t="e">
        <f t="shared" si="74"/>
        <v>#VALUE!</v>
      </c>
      <c r="L185" s="9">
        <v>1.6821425527395739E-3</v>
      </c>
      <c r="M185" s="2" t="e">
        <f t="shared" si="56"/>
        <v>#VALUE!</v>
      </c>
      <c r="N185" s="3">
        <f t="shared" si="57"/>
        <v>0.04</v>
      </c>
      <c r="O185" s="2" t="e">
        <f t="shared" si="58"/>
        <v>#VALUE!</v>
      </c>
      <c r="P185" s="10">
        <f t="shared" si="50"/>
        <v>0.71064348639527553</v>
      </c>
      <c r="Q185" s="13"/>
      <c r="R185" s="2" t="e">
        <f t="shared" si="71"/>
        <v>#VALUE!</v>
      </c>
      <c r="S185" s="2" t="e">
        <f t="shared" si="72"/>
        <v>#VALUE!</v>
      </c>
      <c r="T185" s="2" t="e">
        <f t="shared" ca="1" si="59"/>
        <v>#VALUE!</v>
      </c>
      <c r="U185" s="2" t="e">
        <f t="shared" si="73"/>
        <v>#VALUE!</v>
      </c>
      <c r="V185" s="2" t="e">
        <f t="shared" si="60"/>
        <v>#VALUE!</v>
      </c>
      <c r="W185" s="2">
        <f t="shared" si="61"/>
        <v>477.4153</v>
      </c>
      <c r="X185" s="2" t="e">
        <f t="shared" ca="1" si="62"/>
        <v>#VALUE!</v>
      </c>
      <c r="Y185" s="2" t="e">
        <f t="shared" ca="1" si="63"/>
        <v>#VALUE!</v>
      </c>
      <c r="Z185" s="10">
        <f t="shared" si="64"/>
        <v>0.59900839008770812</v>
      </c>
      <c r="AA185" s="10" t="e">
        <f t="shared" ca="1" si="51"/>
        <v>#VALUE!</v>
      </c>
      <c r="AB185" s="11" t="e">
        <f t="shared" si="65"/>
        <v>#VALUE!</v>
      </c>
      <c r="AC185" s="11" t="e">
        <f>SUM($S$31:S185)/$V$31</f>
        <v>#VALUE!</v>
      </c>
      <c r="AD185" s="11" t="e">
        <f>SUM($S$31:S185,$R$31:R185,$T$31:T185)/$V$31</f>
        <v>#VALUE!</v>
      </c>
      <c r="AE185" s="11" t="e">
        <f>SUM($M$31:M185)/$V$31</f>
        <v>#VALUE!</v>
      </c>
      <c r="AF185" s="11" t="e">
        <f ca="1">SUM(SUM($M$31:M185),-SUM($T$31:T185))/$V$31</f>
        <v>#VALUE!</v>
      </c>
      <c r="AG185">
        <f t="shared" si="52"/>
        <v>23870</v>
      </c>
    </row>
    <row r="186" spans="2:33" x14ac:dyDescent="0.15">
      <c r="B186" s="1">
        <f t="shared" si="66"/>
        <v>155</v>
      </c>
      <c r="C186" s="1">
        <f t="shared" si="53"/>
        <v>155</v>
      </c>
      <c r="D186" s="25">
        <v>3.8835482340493603E-2</v>
      </c>
      <c r="E186" s="2">
        <f t="shared" si="54"/>
        <v>71064.348639527554</v>
      </c>
      <c r="F186" s="3">
        <f t="shared" si="67"/>
        <v>0.04</v>
      </c>
      <c r="G186" s="2">
        <f t="shared" si="68"/>
        <v>477.4153</v>
      </c>
      <c r="H186" s="2">
        <f t="shared" si="69"/>
        <v>236.88116213175851</v>
      </c>
      <c r="I186" s="2">
        <f t="shared" si="70"/>
        <v>240.53413786824149</v>
      </c>
      <c r="J186" s="2">
        <f t="shared" si="55"/>
        <v>70823.814501659319</v>
      </c>
      <c r="K186" s="2" t="e">
        <f t="shared" si="74"/>
        <v>#VALUE!</v>
      </c>
      <c r="L186" s="9">
        <v>1.6821425527395739E-3</v>
      </c>
      <c r="M186" s="2" t="e">
        <f t="shared" si="56"/>
        <v>#VALUE!</v>
      </c>
      <c r="N186" s="3">
        <f t="shared" si="57"/>
        <v>0.04</v>
      </c>
      <c r="O186" s="2" t="e">
        <f t="shared" si="58"/>
        <v>#VALUE!</v>
      </c>
      <c r="P186" s="10">
        <f t="shared" si="50"/>
        <v>0.70823814501659321</v>
      </c>
      <c r="Q186" s="13"/>
      <c r="R186" s="2" t="e">
        <f t="shared" si="71"/>
        <v>#VALUE!</v>
      </c>
      <c r="S186" s="2" t="e">
        <f t="shared" si="72"/>
        <v>#VALUE!</v>
      </c>
      <c r="T186" s="2" t="e">
        <f t="shared" ca="1" si="59"/>
        <v>#VALUE!</v>
      </c>
      <c r="U186" s="2" t="e">
        <f t="shared" si="73"/>
        <v>#VALUE!</v>
      </c>
      <c r="V186" s="2" t="e">
        <f t="shared" si="60"/>
        <v>#VALUE!</v>
      </c>
      <c r="W186" s="2">
        <f t="shared" si="61"/>
        <v>477.4153</v>
      </c>
      <c r="X186" s="2" t="e">
        <f t="shared" ca="1" si="62"/>
        <v>#VALUE!</v>
      </c>
      <c r="Y186" s="2" t="e">
        <f t="shared" ca="1" si="63"/>
        <v>#VALUE!</v>
      </c>
      <c r="Z186" s="10">
        <f t="shared" si="64"/>
        <v>0.59701832899158025</v>
      </c>
      <c r="AA186" s="10" t="e">
        <f t="shared" ca="1" si="51"/>
        <v>#VALUE!</v>
      </c>
      <c r="AB186" s="11" t="e">
        <f t="shared" si="65"/>
        <v>#VALUE!</v>
      </c>
      <c r="AC186" s="11" t="e">
        <f>SUM($S$31:S186)/$V$31</f>
        <v>#VALUE!</v>
      </c>
      <c r="AD186" s="11" t="e">
        <f>SUM($S$31:S186,$R$31:R186,$T$31:T186)/$V$31</f>
        <v>#VALUE!</v>
      </c>
      <c r="AE186" s="11" t="e">
        <f>SUM($M$31:M186)/$V$31</f>
        <v>#VALUE!</v>
      </c>
      <c r="AF186" s="11" t="e">
        <f ca="1">SUM(SUM($M$31:M186),-SUM($T$31:T186))/$V$31</f>
        <v>#VALUE!</v>
      </c>
      <c r="AG186">
        <f t="shared" si="52"/>
        <v>24180</v>
      </c>
    </row>
    <row r="187" spans="2:33" x14ac:dyDescent="0.15">
      <c r="B187" s="1">
        <f t="shared" si="66"/>
        <v>156</v>
      </c>
      <c r="C187" s="1">
        <f t="shared" si="53"/>
        <v>156</v>
      </c>
      <c r="D187" s="25">
        <v>3.8832413133454501E-2</v>
      </c>
      <c r="E187" s="2">
        <f t="shared" si="54"/>
        <v>70823.814501659319</v>
      </c>
      <c r="F187" s="3">
        <f t="shared" si="67"/>
        <v>0.04</v>
      </c>
      <c r="G187" s="2">
        <f t="shared" si="68"/>
        <v>477.4153</v>
      </c>
      <c r="H187" s="2">
        <f t="shared" si="69"/>
        <v>236.07938167219774</v>
      </c>
      <c r="I187" s="2">
        <f t="shared" si="70"/>
        <v>241.33591832780226</v>
      </c>
      <c r="J187" s="2">
        <f t="shared" si="55"/>
        <v>70582.478583331511</v>
      </c>
      <c r="K187" s="2" t="e">
        <f t="shared" si="74"/>
        <v>#VALUE!</v>
      </c>
      <c r="L187" s="9">
        <v>1.6821425527395739E-3</v>
      </c>
      <c r="M187" s="2" t="e">
        <f t="shared" si="56"/>
        <v>#VALUE!</v>
      </c>
      <c r="N187" s="3">
        <f t="shared" si="57"/>
        <v>0.04</v>
      </c>
      <c r="O187" s="2" t="e">
        <f t="shared" si="58"/>
        <v>#VALUE!</v>
      </c>
      <c r="P187" s="10">
        <f t="shared" si="50"/>
        <v>0.70582478583331509</v>
      </c>
      <c r="Q187" s="13"/>
      <c r="R187" s="2" t="e">
        <f t="shared" si="71"/>
        <v>#VALUE!</v>
      </c>
      <c r="S187" s="2" t="e">
        <f t="shared" si="72"/>
        <v>#VALUE!</v>
      </c>
      <c r="T187" s="2" t="e">
        <f t="shared" ca="1" si="59"/>
        <v>#VALUE!</v>
      </c>
      <c r="U187" s="2" t="e">
        <f t="shared" si="73"/>
        <v>#VALUE!</v>
      </c>
      <c r="V187" s="2" t="e">
        <f t="shared" si="60"/>
        <v>#VALUE!</v>
      </c>
      <c r="W187" s="2">
        <f t="shared" si="61"/>
        <v>477.4153</v>
      </c>
      <c r="X187" s="2" t="e">
        <f t="shared" ca="1" si="62"/>
        <v>#VALUE!</v>
      </c>
      <c r="Y187" s="2" t="e">
        <f t="shared" ca="1" si="63"/>
        <v>#VALUE!</v>
      </c>
      <c r="Z187" s="10">
        <f t="shared" si="64"/>
        <v>0.59503487939410915</v>
      </c>
      <c r="AA187" s="10" t="e">
        <f t="shared" ca="1" si="51"/>
        <v>#VALUE!</v>
      </c>
      <c r="AB187" s="11" t="e">
        <f t="shared" si="65"/>
        <v>#VALUE!</v>
      </c>
      <c r="AC187" s="11" t="e">
        <f>SUM($S$31:S187)/$V$31</f>
        <v>#VALUE!</v>
      </c>
      <c r="AD187" s="11" t="e">
        <f>SUM($S$31:S187,$R$31:R187,$T$31:T187)/$V$31</f>
        <v>#VALUE!</v>
      </c>
      <c r="AE187" s="11" t="e">
        <f>SUM($M$31:M187)/$V$31</f>
        <v>#VALUE!</v>
      </c>
      <c r="AF187" s="11" t="e">
        <f ca="1">SUM(SUM($M$31:M187),-SUM($T$31:T187))/$V$31</f>
        <v>#VALUE!</v>
      </c>
      <c r="AG187">
        <f t="shared" si="52"/>
        <v>24492</v>
      </c>
    </row>
    <row r="188" spans="2:33" x14ac:dyDescent="0.15">
      <c r="B188" s="1">
        <f t="shared" si="66"/>
        <v>157</v>
      </c>
      <c r="C188" s="1">
        <f t="shared" si="53"/>
        <v>157</v>
      </c>
      <c r="D188" s="25">
        <v>3.8821073091811195E-2</v>
      </c>
      <c r="E188" s="2">
        <f t="shared" si="54"/>
        <v>70582.478583331511</v>
      </c>
      <c r="F188" s="3">
        <f t="shared" si="67"/>
        <v>0.04</v>
      </c>
      <c r="G188" s="2">
        <f t="shared" si="68"/>
        <v>477.4153</v>
      </c>
      <c r="H188" s="2">
        <f t="shared" si="69"/>
        <v>235.27492861110505</v>
      </c>
      <c r="I188" s="2">
        <f t="shared" si="70"/>
        <v>242.14037138889495</v>
      </c>
      <c r="J188" s="2">
        <f t="shared" si="55"/>
        <v>70340.33821194261</v>
      </c>
      <c r="K188" s="2" t="e">
        <f t="shared" si="74"/>
        <v>#VALUE!</v>
      </c>
      <c r="L188" s="9">
        <v>1.6821425527395739E-3</v>
      </c>
      <c r="M188" s="2" t="e">
        <f t="shared" si="56"/>
        <v>#VALUE!</v>
      </c>
      <c r="N188" s="3">
        <f t="shared" si="57"/>
        <v>0.04</v>
      </c>
      <c r="O188" s="2" t="e">
        <f t="shared" si="58"/>
        <v>#VALUE!</v>
      </c>
      <c r="P188" s="10">
        <f t="shared" si="50"/>
        <v>0.7034033821194261</v>
      </c>
      <c r="Q188" s="13"/>
      <c r="R188" s="2" t="e">
        <f t="shared" si="71"/>
        <v>#VALUE!</v>
      </c>
      <c r="S188" s="2" t="e">
        <f t="shared" si="72"/>
        <v>#VALUE!</v>
      </c>
      <c r="T188" s="2" t="e">
        <f t="shared" ca="1" si="59"/>
        <v>#VALUE!</v>
      </c>
      <c r="U188" s="2" t="e">
        <f t="shared" si="73"/>
        <v>#VALUE!</v>
      </c>
      <c r="V188" s="2" t="e">
        <f t="shared" si="60"/>
        <v>#VALUE!</v>
      </c>
      <c r="W188" s="2">
        <f t="shared" si="61"/>
        <v>477.4153</v>
      </c>
      <c r="X188" s="2" t="e">
        <f t="shared" ca="1" si="62"/>
        <v>#VALUE!</v>
      </c>
      <c r="Y188" s="2" t="e">
        <f t="shared" ca="1" si="63"/>
        <v>#VALUE!</v>
      </c>
      <c r="Z188" s="10">
        <f t="shared" si="64"/>
        <v>0.59305801933018276</v>
      </c>
      <c r="AA188" s="10" t="e">
        <f t="shared" ca="1" si="51"/>
        <v>#VALUE!</v>
      </c>
      <c r="AB188" s="11" t="e">
        <f t="shared" si="65"/>
        <v>#VALUE!</v>
      </c>
      <c r="AC188" s="11" t="e">
        <f>SUM($S$31:S188)/$V$31</f>
        <v>#VALUE!</v>
      </c>
      <c r="AD188" s="11" t="e">
        <f>SUM($S$31:S188,$R$31:R188,$T$31:T188)/$V$31</f>
        <v>#VALUE!</v>
      </c>
      <c r="AE188" s="11" t="e">
        <f>SUM($M$31:M188)/$V$31</f>
        <v>#VALUE!</v>
      </c>
      <c r="AF188" s="11" t="e">
        <f ca="1">SUM(SUM($M$31:M188),-SUM($T$31:T188))/$V$31</f>
        <v>#VALUE!</v>
      </c>
      <c r="AG188">
        <f t="shared" si="52"/>
        <v>24806</v>
      </c>
    </row>
    <row r="189" spans="2:33" x14ac:dyDescent="0.15">
      <c r="B189" s="1">
        <f t="shared" si="66"/>
        <v>158</v>
      </c>
      <c r="C189" s="1">
        <f t="shared" si="53"/>
        <v>158</v>
      </c>
      <c r="D189" s="25">
        <v>3.8820335952283999E-2</v>
      </c>
      <c r="E189" s="2">
        <f t="shared" si="54"/>
        <v>70340.33821194261</v>
      </c>
      <c r="F189" s="3">
        <f t="shared" si="67"/>
        <v>0.04</v>
      </c>
      <c r="G189" s="2">
        <f t="shared" si="68"/>
        <v>477.4153</v>
      </c>
      <c r="H189" s="2">
        <f t="shared" si="69"/>
        <v>234.46779403980872</v>
      </c>
      <c r="I189" s="2">
        <f t="shared" si="70"/>
        <v>242.94750596019128</v>
      </c>
      <c r="J189" s="2">
        <f t="shared" si="55"/>
        <v>70097.390705982412</v>
      </c>
      <c r="K189" s="2" t="e">
        <f t="shared" si="74"/>
        <v>#VALUE!</v>
      </c>
      <c r="L189" s="9">
        <v>1.6821425527395739E-3</v>
      </c>
      <c r="M189" s="2" t="e">
        <f t="shared" si="56"/>
        <v>#VALUE!</v>
      </c>
      <c r="N189" s="3">
        <f t="shared" si="57"/>
        <v>0.04</v>
      </c>
      <c r="O189" s="2" t="e">
        <f t="shared" si="58"/>
        <v>#VALUE!</v>
      </c>
      <c r="P189" s="10">
        <f t="shared" si="50"/>
        <v>0.7009739070598241</v>
      </c>
      <c r="Q189" s="13"/>
      <c r="R189" s="2" t="e">
        <f t="shared" si="71"/>
        <v>#VALUE!</v>
      </c>
      <c r="S189" s="2" t="e">
        <f t="shared" si="72"/>
        <v>#VALUE!</v>
      </c>
      <c r="T189" s="2" t="e">
        <f t="shared" ca="1" si="59"/>
        <v>#VALUE!</v>
      </c>
      <c r="U189" s="2" t="e">
        <f t="shared" si="73"/>
        <v>#VALUE!</v>
      </c>
      <c r="V189" s="2" t="e">
        <f t="shared" si="60"/>
        <v>#VALUE!</v>
      </c>
      <c r="W189" s="2">
        <f t="shared" si="61"/>
        <v>477.4153</v>
      </c>
      <c r="X189" s="2" t="e">
        <f t="shared" ca="1" si="62"/>
        <v>#VALUE!</v>
      </c>
      <c r="Y189" s="2" t="e">
        <f t="shared" ca="1" si="63"/>
        <v>#VALUE!</v>
      </c>
      <c r="Z189" s="10">
        <f t="shared" si="64"/>
        <v>0.59108772690766276</v>
      </c>
      <c r="AA189" s="10" t="e">
        <f t="shared" ca="1" si="51"/>
        <v>#VALUE!</v>
      </c>
      <c r="AB189" s="11" t="e">
        <f t="shared" si="65"/>
        <v>#VALUE!</v>
      </c>
      <c r="AC189" s="11" t="e">
        <f>SUM($S$31:S189)/$V$31</f>
        <v>#VALUE!</v>
      </c>
      <c r="AD189" s="11" t="e">
        <f>SUM($S$31:S189,$R$31:R189,$T$31:T189)/$V$31</f>
        <v>#VALUE!</v>
      </c>
      <c r="AE189" s="11" t="e">
        <f>SUM($M$31:M189)/$V$31</f>
        <v>#VALUE!</v>
      </c>
      <c r="AF189" s="11" t="e">
        <f ca="1">SUM(SUM($M$31:M189),-SUM($T$31:T189))/$V$31</f>
        <v>#VALUE!</v>
      </c>
      <c r="AG189">
        <f t="shared" si="52"/>
        <v>25122</v>
      </c>
    </row>
    <row r="190" spans="2:33" x14ac:dyDescent="0.15">
      <c r="B190" s="1">
        <f t="shared" si="66"/>
        <v>159</v>
      </c>
      <c r="C190" s="1">
        <f t="shared" si="53"/>
        <v>159</v>
      </c>
      <c r="D190" s="25">
        <v>3.8808781016622003E-2</v>
      </c>
      <c r="E190" s="2">
        <f t="shared" si="54"/>
        <v>70097.390705982412</v>
      </c>
      <c r="F190" s="3">
        <f t="shared" si="67"/>
        <v>0.04</v>
      </c>
      <c r="G190" s="2">
        <f t="shared" si="68"/>
        <v>477.4153</v>
      </c>
      <c r="H190" s="2">
        <f t="shared" si="69"/>
        <v>233.65796901994139</v>
      </c>
      <c r="I190" s="2">
        <f t="shared" si="70"/>
        <v>243.75733098005861</v>
      </c>
      <c r="J190" s="2">
        <f t="shared" si="55"/>
        <v>69853.633375002348</v>
      </c>
      <c r="K190" s="2" t="e">
        <f t="shared" si="74"/>
        <v>#VALUE!</v>
      </c>
      <c r="L190" s="9">
        <v>1.6821425527395739E-3</v>
      </c>
      <c r="M190" s="2" t="e">
        <f t="shared" si="56"/>
        <v>#VALUE!</v>
      </c>
      <c r="N190" s="3">
        <f t="shared" si="57"/>
        <v>0.04</v>
      </c>
      <c r="O190" s="2" t="e">
        <f t="shared" si="58"/>
        <v>#VALUE!</v>
      </c>
      <c r="P190" s="10">
        <f t="shared" si="50"/>
        <v>0.69853633375002344</v>
      </c>
      <c r="Q190" s="13"/>
      <c r="R190" s="2" t="e">
        <f t="shared" si="71"/>
        <v>#VALUE!</v>
      </c>
      <c r="S190" s="2" t="e">
        <f t="shared" si="72"/>
        <v>#VALUE!</v>
      </c>
      <c r="T190" s="2" t="e">
        <f t="shared" ca="1" si="59"/>
        <v>#VALUE!</v>
      </c>
      <c r="U190" s="2" t="e">
        <f t="shared" si="73"/>
        <v>#VALUE!</v>
      </c>
      <c r="V190" s="2" t="e">
        <f t="shared" si="60"/>
        <v>#VALUE!</v>
      </c>
      <c r="W190" s="2">
        <f t="shared" si="61"/>
        <v>477.4153</v>
      </c>
      <c r="X190" s="2" t="e">
        <f t="shared" ca="1" si="62"/>
        <v>#VALUE!</v>
      </c>
      <c r="Y190" s="2" t="e">
        <f t="shared" ca="1" si="63"/>
        <v>#VALUE!</v>
      </c>
      <c r="Z190" s="10">
        <f t="shared" si="64"/>
        <v>0.58912398030714319</v>
      </c>
      <c r="AA190" s="10" t="e">
        <f t="shared" ca="1" si="51"/>
        <v>#VALUE!</v>
      </c>
      <c r="AB190" s="11" t="e">
        <f t="shared" si="65"/>
        <v>#VALUE!</v>
      </c>
      <c r="AC190" s="11" t="e">
        <f>SUM($S$31:S190)/$V$31</f>
        <v>#VALUE!</v>
      </c>
      <c r="AD190" s="11" t="e">
        <f>SUM($S$31:S190,$R$31:R190,$T$31:T190)/$V$31</f>
        <v>#VALUE!</v>
      </c>
      <c r="AE190" s="11" t="e">
        <f>SUM($M$31:M190)/$V$31</f>
        <v>#VALUE!</v>
      </c>
      <c r="AF190" s="11" t="e">
        <f ca="1">SUM(SUM($M$31:M190),-SUM($T$31:T190))/$V$31</f>
        <v>#VALUE!</v>
      </c>
      <c r="AG190">
        <f t="shared" si="52"/>
        <v>25440</v>
      </c>
    </row>
    <row r="191" spans="2:33" x14ac:dyDescent="0.15">
      <c r="B191" s="1">
        <f t="shared" si="66"/>
        <v>160</v>
      </c>
      <c r="C191" s="1">
        <f t="shared" si="53"/>
        <v>160</v>
      </c>
      <c r="D191" s="25">
        <v>3.8799253173594402E-2</v>
      </c>
      <c r="E191" s="2">
        <f t="shared" si="54"/>
        <v>69853.633375002348</v>
      </c>
      <c r="F191" s="3">
        <f t="shared" si="67"/>
        <v>0.04</v>
      </c>
      <c r="G191" s="2">
        <f t="shared" si="68"/>
        <v>477.4153</v>
      </c>
      <c r="H191" s="2">
        <f t="shared" si="69"/>
        <v>232.84544458334116</v>
      </c>
      <c r="I191" s="2">
        <f t="shared" si="70"/>
        <v>244.56985541665884</v>
      </c>
      <c r="J191" s="2">
        <f t="shared" si="55"/>
        <v>69609.063519585688</v>
      </c>
      <c r="K191" s="2" t="e">
        <f t="shared" si="74"/>
        <v>#VALUE!</v>
      </c>
      <c r="L191" s="9">
        <v>1.6821425527395739E-3</v>
      </c>
      <c r="M191" s="2" t="e">
        <f t="shared" si="56"/>
        <v>#VALUE!</v>
      </c>
      <c r="N191" s="3">
        <f t="shared" si="57"/>
        <v>0.04</v>
      </c>
      <c r="O191" s="2" t="e">
        <f t="shared" si="58"/>
        <v>#VALUE!</v>
      </c>
      <c r="P191" s="10">
        <f t="shared" si="50"/>
        <v>0.6960906351958569</v>
      </c>
      <c r="Q191" s="13"/>
      <c r="R191" s="2" t="e">
        <f t="shared" si="71"/>
        <v>#VALUE!</v>
      </c>
      <c r="S191" s="2" t="e">
        <f t="shared" si="72"/>
        <v>#VALUE!</v>
      </c>
      <c r="T191" s="2" t="e">
        <f t="shared" ca="1" si="59"/>
        <v>#VALUE!</v>
      </c>
      <c r="U191" s="2" t="e">
        <f t="shared" si="73"/>
        <v>#VALUE!</v>
      </c>
      <c r="V191" s="2" t="e">
        <f t="shared" si="60"/>
        <v>#VALUE!</v>
      </c>
      <c r="W191" s="2">
        <f t="shared" si="61"/>
        <v>477.4153</v>
      </c>
      <c r="X191" s="2" t="e">
        <f t="shared" ca="1" si="62"/>
        <v>#VALUE!</v>
      </c>
      <c r="Y191" s="2" t="e">
        <f t="shared" ca="1" si="63"/>
        <v>#VALUE!</v>
      </c>
      <c r="Z191" s="10">
        <f t="shared" si="64"/>
        <v>0.58716675778170657</v>
      </c>
      <c r="AA191" s="10" t="e">
        <f t="shared" ca="1" si="51"/>
        <v>#VALUE!</v>
      </c>
      <c r="AB191" s="11" t="e">
        <f t="shared" si="65"/>
        <v>#VALUE!</v>
      </c>
      <c r="AC191" s="11" t="e">
        <f>SUM($S$31:S191)/$V$31</f>
        <v>#VALUE!</v>
      </c>
      <c r="AD191" s="11" t="e">
        <f>SUM($S$31:S191,$R$31:R191,$T$31:T191)/$V$31</f>
        <v>#VALUE!</v>
      </c>
      <c r="AE191" s="11" t="e">
        <f>SUM($M$31:M191)/$V$31</f>
        <v>#VALUE!</v>
      </c>
      <c r="AF191" s="11" t="e">
        <f ca="1">SUM(SUM($M$31:M191),-SUM($T$31:T191))/$V$31</f>
        <v>#VALUE!</v>
      </c>
      <c r="AG191">
        <f t="shared" si="52"/>
        <v>25760</v>
      </c>
    </row>
    <row r="192" spans="2:33" x14ac:dyDescent="0.15">
      <c r="B192" s="1">
        <f t="shared" si="66"/>
        <v>161</v>
      </c>
      <c r="C192" s="1">
        <f t="shared" si="53"/>
        <v>161</v>
      </c>
      <c r="D192" s="25">
        <v>3.87833312714271E-2</v>
      </c>
      <c r="E192" s="2">
        <f t="shared" si="54"/>
        <v>69609.063519585688</v>
      </c>
      <c r="F192" s="3">
        <f t="shared" si="67"/>
        <v>0.04</v>
      </c>
      <c r="G192" s="2">
        <f t="shared" si="68"/>
        <v>477.4153</v>
      </c>
      <c r="H192" s="2">
        <f t="shared" si="69"/>
        <v>232.03021173195231</v>
      </c>
      <c r="I192" s="2">
        <f t="shared" si="70"/>
        <v>245.3850882680477</v>
      </c>
      <c r="J192" s="2">
        <f t="shared" si="55"/>
        <v>69363.678431317647</v>
      </c>
      <c r="K192" s="2" t="e">
        <f t="shared" si="74"/>
        <v>#VALUE!</v>
      </c>
      <c r="L192" s="9">
        <v>1.6821425527395739E-3</v>
      </c>
      <c r="M192" s="2" t="e">
        <f t="shared" si="56"/>
        <v>#VALUE!</v>
      </c>
      <c r="N192" s="3">
        <f t="shared" si="57"/>
        <v>0.04</v>
      </c>
      <c r="O192" s="2" t="e">
        <f t="shared" si="58"/>
        <v>#VALUE!</v>
      </c>
      <c r="P192" s="10">
        <f t="shared" si="50"/>
        <v>0.69363678431317644</v>
      </c>
      <c r="Q192" s="13"/>
      <c r="R192" s="2" t="e">
        <f t="shared" si="71"/>
        <v>#VALUE!</v>
      </c>
      <c r="S192" s="2" t="e">
        <f t="shared" si="72"/>
        <v>#VALUE!</v>
      </c>
      <c r="T192" s="2" t="e">
        <f t="shared" ca="1" si="59"/>
        <v>#VALUE!</v>
      </c>
      <c r="U192" s="2" t="e">
        <f t="shared" si="73"/>
        <v>#VALUE!</v>
      </c>
      <c r="V192" s="2" t="e">
        <f t="shared" si="60"/>
        <v>#VALUE!</v>
      </c>
      <c r="W192" s="2">
        <f t="shared" si="61"/>
        <v>477.4153</v>
      </c>
      <c r="X192" s="2" t="e">
        <f t="shared" ca="1" si="62"/>
        <v>#VALUE!</v>
      </c>
      <c r="Y192" s="2" t="e">
        <f t="shared" ca="1" si="63"/>
        <v>#VALUE!</v>
      </c>
      <c r="Z192" s="10">
        <f t="shared" si="64"/>
        <v>0.58521603765668506</v>
      </c>
      <c r="AA192" s="10" t="e">
        <f t="shared" ca="1" si="51"/>
        <v>#VALUE!</v>
      </c>
      <c r="AB192" s="11" t="e">
        <f t="shared" si="65"/>
        <v>#VALUE!</v>
      </c>
      <c r="AC192" s="11" t="e">
        <f>SUM($S$31:S192)/$V$31</f>
        <v>#VALUE!</v>
      </c>
      <c r="AD192" s="11" t="e">
        <f>SUM($S$31:S192,$R$31:R192,$T$31:T192)/$V$31</f>
        <v>#VALUE!</v>
      </c>
      <c r="AE192" s="11" t="e">
        <f>SUM($M$31:M192)/$V$31</f>
        <v>#VALUE!</v>
      </c>
      <c r="AF192" s="11" t="e">
        <f ca="1">SUM(SUM($M$31:M192),-SUM($T$31:T192))/$V$31</f>
        <v>#VALUE!</v>
      </c>
      <c r="AG192">
        <f t="shared" si="52"/>
        <v>26082</v>
      </c>
    </row>
    <row r="193" spans="2:33" x14ac:dyDescent="0.15">
      <c r="B193" s="1">
        <f t="shared" si="66"/>
        <v>162</v>
      </c>
      <c r="C193" s="1">
        <f t="shared" si="53"/>
        <v>162</v>
      </c>
      <c r="D193" s="25">
        <v>3.8769430970404799E-2</v>
      </c>
      <c r="E193" s="2">
        <f t="shared" si="54"/>
        <v>69363.678431317647</v>
      </c>
      <c r="F193" s="3">
        <f t="shared" si="67"/>
        <v>0.04</v>
      </c>
      <c r="G193" s="2">
        <f t="shared" si="68"/>
        <v>477.4153</v>
      </c>
      <c r="H193" s="2">
        <f t="shared" si="69"/>
        <v>231.21226143772552</v>
      </c>
      <c r="I193" s="2">
        <f t="shared" si="70"/>
        <v>246.20303856227449</v>
      </c>
      <c r="J193" s="2">
        <f t="shared" si="55"/>
        <v>69117.475392755368</v>
      </c>
      <c r="K193" s="2" t="e">
        <f t="shared" si="74"/>
        <v>#VALUE!</v>
      </c>
      <c r="L193" s="9">
        <v>1.6821425527395739E-3</v>
      </c>
      <c r="M193" s="2" t="e">
        <f t="shared" si="56"/>
        <v>#VALUE!</v>
      </c>
      <c r="N193" s="3">
        <f t="shared" si="57"/>
        <v>0.04</v>
      </c>
      <c r="O193" s="2" t="e">
        <f t="shared" si="58"/>
        <v>#VALUE!</v>
      </c>
      <c r="P193" s="10">
        <f t="shared" si="50"/>
        <v>0.69117475392755368</v>
      </c>
      <c r="Q193" s="13"/>
      <c r="R193" s="2" t="e">
        <f t="shared" si="71"/>
        <v>#VALUE!</v>
      </c>
      <c r="S193" s="2" t="e">
        <f t="shared" si="72"/>
        <v>#VALUE!</v>
      </c>
      <c r="T193" s="2" t="e">
        <f t="shared" ca="1" si="59"/>
        <v>#VALUE!</v>
      </c>
      <c r="U193" s="2" t="e">
        <f t="shared" si="73"/>
        <v>#VALUE!</v>
      </c>
      <c r="V193" s="2" t="e">
        <f t="shared" si="60"/>
        <v>#VALUE!</v>
      </c>
      <c r="W193" s="2">
        <f t="shared" si="61"/>
        <v>477.4153</v>
      </c>
      <c r="X193" s="2" t="e">
        <f t="shared" ca="1" si="62"/>
        <v>#VALUE!</v>
      </c>
      <c r="Y193" s="2" t="e">
        <f t="shared" ca="1" si="63"/>
        <v>#VALUE!</v>
      </c>
      <c r="Z193" s="10">
        <f t="shared" si="64"/>
        <v>0.58327179832941944</v>
      </c>
      <c r="AA193" s="10" t="e">
        <f t="shared" ca="1" si="51"/>
        <v>#VALUE!</v>
      </c>
      <c r="AB193" s="11" t="e">
        <f t="shared" si="65"/>
        <v>#VALUE!</v>
      </c>
      <c r="AC193" s="11" t="e">
        <f>SUM($S$31:S193)/$V$31</f>
        <v>#VALUE!</v>
      </c>
      <c r="AD193" s="11" t="e">
        <f>SUM($S$31:S193,$R$31:R193,$T$31:T193)/$V$31</f>
        <v>#VALUE!</v>
      </c>
      <c r="AE193" s="11" t="e">
        <f>SUM($M$31:M193)/$V$31</f>
        <v>#VALUE!</v>
      </c>
      <c r="AF193" s="11" t="e">
        <f ca="1">SUM(SUM($M$31:M193),-SUM($T$31:T193))/$V$31</f>
        <v>#VALUE!</v>
      </c>
      <c r="AG193">
        <f t="shared" si="52"/>
        <v>26406</v>
      </c>
    </row>
    <row r="194" spans="2:33" x14ac:dyDescent="0.15">
      <c r="B194" s="1">
        <f t="shared" si="66"/>
        <v>163</v>
      </c>
      <c r="C194" s="1">
        <f t="shared" si="53"/>
        <v>163</v>
      </c>
      <c r="D194" s="25">
        <v>3.87509262328527E-2</v>
      </c>
      <c r="E194" s="2">
        <f t="shared" si="54"/>
        <v>69117.475392755368</v>
      </c>
      <c r="F194" s="3">
        <f t="shared" si="67"/>
        <v>0.04</v>
      </c>
      <c r="G194" s="2">
        <f t="shared" si="68"/>
        <v>477.4153</v>
      </c>
      <c r="H194" s="2">
        <f t="shared" si="69"/>
        <v>230.3915846425179</v>
      </c>
      <c r="I194" s="2">
        <f t="shared" si="70"/>
        <v>247.0237153574821</v>
      </c>
      <c r="J194" s="2">
        <f t="shared" si="55"/>
        <v>68870.451677397883</v>
      </c>
      <c r="K194" s="2" t="e">
        <f t="shared" si="74"/>
        <v>#VALUE!</v>
      </c>
      <c r="L194" s="9">
        <v>1.6821425527395739E-3</v>
      </c>
      <c r="M194" s="2" t="e">
        <f t="shared" si="56"/>
        <v>#VALUE!</v>
      </c>
      <c r="N194" s="3">
        <f t="shared" si="57"/>
        <v>0.04</v>
      </c>
      <c r="O194" s="2" t="e">
        <f t="shared" si="58"/>
        <v>#VALUE!</v>
      </c>
      <c r="P194" s="10">
        <f t="shared" si="50"/>
        <v>0.68870451677397881</v>
      </c>
      <c r="Q194" s="13"/>
      <c r="R194" s="2" t="e">
        <f t="shared" si="71"/>
        <v>#VALUE!</v>
      </c>
      <c r="S194" s="2" t="e">
        <f t="shared" si="72"/>
        <v>#VALUE!</v>
      </c>
      <c r="T194" s="2" t="e">
        <f t="shared" ca="1" si="59"/>
        <v>#VALUE!</v>
      </c>
      <c r="U194" s="2" t="e">
        <f t="shared" si="73"/>
        <v>#VALUE!</v>
      </c>
      <c r="V194" s="2" t="e">
        <f t="shared" si="60"/>
        <v>#VALUE!</v>
      </c>
      <c r="W194" s="2">
        <f t="shared" si="61"/>
        <v>477.4153</v>
      </c>
      <c r="X194" s="2" t="e">
        <f t="shared" ca="1" si="62"/>
        <v>#VALUE!</v>
      </c>
      <c r="Y194" s="2" t="e">
        <f t="shared" ca="1" si="63"/>
        <v>#VALUE!</v>
      </c>
      <c r="Z194" s="10">
        <f t="shared" si="64"/>
        <v>0.58133401826902009</v>
      </c>
      <c r="AA194" s="10" t="e">
        <f t="shared" ca="1" si="51"/>
        <v>#VALUE!</v>
      </c>
      <c r="AB194" s="11" t="e">
        <f t="shared" si="65"/>
        <v>#VALUE!</v>
      </c>
      <c r="AC194" s="11" t="e">
        <f>SUM($S$31:S194)/$V$31</f>
        <v>#VALUE!</v>
      </c>
      <c r="AD194" s="11" t="e">
        <f>SUM($S$31:S194,$R$31:R194,$T$31:T194)/$V$31</f>
        <v>#VALUE!</v>
      </c>
      <c r="AE194" s="11" t="e">
        <f>SUM($M$31:M194)/$V$31</f>
        <v>#VALUE!</v>
      </c>
      <c r="AF194" s="11" t="e">
        <f ca="1">SUM(SUM($M$31:M194),-SUM($T$31:T194))/$V$31</f>
        <v>#VALUE!</v>
      </c>
      <c r="AG194">
        <f t="shared" si="52"/>
        <v>26732</v>
      </c>
    </row>
    <row r="195" spans="2:33" x14ac:dyDescent="0.15">
      <c r="B195" s="1">
        <f t="shared" si="66"/>
        <v>164</v>
      </c>
      <c r="C195" s="1">
        <f t="shared" si="53"/>
        <v>164</v>
      </c>
      <c r="D195" s="25">
        <v>3.8728419929824301E-2</v>
      </c>
      <c r="E195" s="2">
        <f t="shared" si="54"/>
        <v>68870.451677397883</v>
      </c>
      <c r="F195" s="3">
        <f t="shared" si="67"/>
        <v>0.04</v>
      </c>
      <c r="G195" s="2">
        <f t="shared" si="68"/>
        <v>477.4153</v>
      </c>
      <c r="H195" s="2">
        <f t="shared" si="69"/>
        <v>229.56817225799296</v>
      </c>
      <c r="I195" s="2">
        <f t="shared" si="70"/>
        <v>247.84712774200705</v>
      </c>
      <c r="J195" s="2">
        <f t="shared" si="55"/>
        <v>68622.60454965588</v>
      </c>
      <c r="K195" s="2" t="e">
        <f t="shared" si="74"/>
        <v>#VALUE!</v>
      </c>
      <c r="L195" s="9">
        <v>1.6821425527395739E-3</v>
      </c>
      <c r="M195" s="2" t="e">
        <f t="shared" si="56"/>
        <v>#VALUE!</v>
      </c>
      <c r="N195" s="3">
        <f t="shared" si="57"/>
        <v>0.04</v>
      </c>
      <c r="O195" s="2" t="e">
        <f t="shared" si="58"/>
        <v>#VALUE!</v>
      </c>
      <c r="P195" s="10">
        <f t="shared" si="50"/>
        <v>0.68622604549655875</v>
      </c>
      <c r="Q195" s="13"/>
      <c r="R195" s="2" t="e">
        <f t="shared" si="71"/>
        <v>#VALUE!</v>
      </c>
      <c r="S195" s="2" t="e">
        <f t="shared" si="72"/>
        <v>#VALUE!</v>
      </c>
      <c r="T195" s="2" t="e">
        <f t="shared" ca="1" si="59"/>
        <v>#VALUE!</v>
      </c>
      <c r="U195" s="2" t="e">
        <f t="shared" si="73"/>
        <v>#VALUE!</v>
      </c>
      <c r="V195" s="2" t="e">
        <f t="shared" si="60"/>
        <v>#VALUE!</v>
      </c>
      <c r="W195" s="2">
        <f t="shared" si="61"/>
        <v>477.4153</v>
      </c>
      <c r="X195" s="2" t="e">
        <f t="shared" ca="1" si="62"/>
        <v>#VALUE!</v>
      </c>
      <c r="Y195" s="2" t="e">
        <f t="shared" ca="1" si="63"/>
        <v>#VALUE!</v>
      </c>
      <c r="Z195" s="10">
        <f t="shared" si="64"/>
        <v>0.57940267601612894</v>
      </c>
      <c r="AA195" s="10" t="e">
        <f t="shared" ca="1" si="51"/>
        <v>#VALUE!</v>
      </c>
      <c r="AB195" s="11" t="e">
        <f t="shared" si="65"/>
        <v>#VALUE!</v>
      </c>
      <c r="AC195" s="11" t="e">
        <f>SUM($S$31:S195)/$V$31</f>
        <v>#VALUE!</v>
      </c>
      <c r="AD195" s="11" t="e">
        <f>SUM($S$31:S195,$R$31:R195,$T$31:T195)/$V$31</f>
        <v>#VALUE!</v>
      </c>
      <c r="AE195" s="11" t="e">
        <f>SUM($M$31:M195)/$V$31</f>
        <v>#VALUE!</v>
      </c>
      <c r="AF195" s="11" t="e">
        <f ca="1">SUM(SUM($M$31:M195),-SUM($T$31:T195))/$V$31</f>
        <v>#VALUE!</v>
      </c>
      <c r="AG195">
        <f t="shared" si="52"/>
        <v>27060</v>
      </c>
    </row>
    <row r="196" spans="2:33" x14ac:dyDescent="0.15">
      <c r="B196" s="1">
        <f t="shared" si="66"/>
        <v>165</v>
      </c>
      <c r="C196" s="1">
        <f t="shared" si="53"/>
        <v>165</v>
      </c>
      <c r="D196" s="25">
        <v>3.8707923391515797E-2</v>
      </c>
      <c r="E196" s="2">
        <f t="shared" si="54"/>
        <v>68622.60454965588</v>
      </c>
      <c r="F196" s="3">
        <f t="shared" si="67"/>
        <v>0.04</v>
      </c>
      <c r="G196" s="2">
        <f t="shared" si="68"/>
        <v>477.4153</v>
      </c>
      <c r="H196" s="2">
        <f t="shared" si="69"/>
        <v>228.7420151655196</v>
      </c>
      <c r="I196" s="2">
        <f t="shared" si="70"/>
        <v>248.6732848344804</v>
      </c>
      <c r="J196" s="2">
        <f t="shared" si="55"/>
        <v>68373.931264821396</v>
      </c>
      <c r="K196" s="2" t="e">
        <f t="shared" si="74"/>
        <v>#VALUE!</v>
      </c>
      <c r="L196" s="9">
        <v>1.6821425527395739E-3</v>
      </c>
      <c r="M196" s="2" t="e">
        <f t="shared" si="56"/>
        <v>#VALUE!</v>
      </c>
      <c r="N196" s="3">
        <f t="shared" si="57"/>
        <v>0.04</v>
      </c>
      <c r="O196" s="2" t="e">
        <f t="shared" si="58"/>
        <v>#VALUE!</v>
      </c>
      <c r="P196" s="10">
        <f t="shared" si="50"/>
        <v>0.68373931264821397</v>
      </c>
      <c r="Q196" s="13"/>
      <c r="R196" s="2" t="e">
        <f t="shared" si="71"/>
        <v>#VALUE!</v>
      </c>
      <c r="S196" s="2" t="e">
        <f t="shared" si="72"/>
        <v>#VALUE!</v>
      </c>
      <c r="T196" s="2" t="e">
        <f t="shared" ca="1" si="59"/>
        <v>#VALUE!</v>
      </c>
      <c r="U196" s="2" t="e">
        <f t="shared" si="73"/>
        <v>#VALUE!</v>
      </c>
      <c r="V196" s="2" t="e">
        <f t="shared" si="60"/>
        <v>#VALUE!</v>
      </c>
      <c r="W196" s="2">
        <f t="shared" si="61"/>
        <v>477.4153</v>
      </c>
      <c r="X196" s="2" t="e">
        <f t="shared" ca="1" si="62"/>
        <v>#VALUE!</v>
      </c>
      <c r="Y196" s="2" t="e">
        <f t="shared" ca="1" si="63"/>
        <v>#VALUE!</v>
      </c>
      <c r="Z196" s="10">
        <f t="shared" si="64"/>
        <v>0.57747775018268077</v>
      </c>
      <c r="AA196" s="10" t="e">
        <f t="shared" ca="1" si="51"/>
        <v>#VALUE!</v>
      </c>
      <c r="AB196" s="11" t="e">
        <f t="shared" si="65"/>
        <v>#VALUE!</v>
      </c>
      <c r="AC196" s="11" t="e">
        <f>SUM($S$31:S196)/$V$31</f>
        <v>#VALUE!</v>
      </c>
      <c r="AD196" s="11" t="e">
        <f>SUM($S$31:S196,$R$31:R196,$T$31:T196)/$V$31</f>
        <v>#VALUE!</v>
      </c>
      <c r="AE196" s="11" t="e">
        <f>SUM($M$31:M196)/$V$31</f>
        <v>#VALUE!</v>
      </c>
      <c r="AF196" s="11" t="e">
        <f ca="1">SUM(SUM($M$31:M196),-SUM($T$31:T196))/$V$31</f>
        <v>#VALUE!</v>
      </c>
      <c r="AG196">
        <f t="shared" si="52"/>
        <v>27390</v>
      </c>
    </row>
    <row r="197" spans="2:33" x14ac:dyDescent="0.15">
      <c r="B197" s="1">
        <f t="shared" si="66"/>
        <v>166</v>
      </c>
      <c r="C197" s="1">
        <f t="shared" si="53"/>
        <v>166</v>
      </c>
      <c r="D197" s="25">
        <v>3.8681052577426905E-2</v>
      </c>
      <c r="E197" s="2">
        <f t="shared" si="54"/>
        <v>68373.931264821396</v>
      </c>
      <c r="F197" s="3">
        <f t="shared" si="67"/>
        <v>0.04</v>
      </c>
      <c r="G197" s="2">
        <f t="shared" si="68"/>
        <v>477.4153</v>
      </c>
      <c r="H197" s="2">
        <f t="shared" si="69"/>
        <v>227.91310421607133</v>
      </c>
      <c r="I197" s="2">
        <f t="shared" si="70"/>
        <v>249.50219578392867</v>
      </c>
      <c r="J197" s="2">
        <f t="shared" si="55"/>
        <v>68124.429069037462</v>
      </c>
      <c r="K197" s="2" t="e">
        <f t="shared" si="74"/>
        <v>#VALUE!</v>
      </c>
      <c r="L197" s="9">
        <v>1.6821425527395739E-3</v>
      </c>
      <c r="M197" s="2" t="e">
        <f t="shared" si="56"/>
        <v>#VALUE!</v>
      </c>
      <c r="N197" s="3">
        <f t="shared" si="57"/>
        <v>0.04</v>
      </c>
      <c r="O197" s="2" t="e">
        <f t="shared" si="58"/>
        <v>#VALUE!</v>
      </c>
      <c r="P197" s="10">
        <f t="shared" si="50"/>
        <v>0.68124429069037462</v>
      </c>
      <c r="Q197" s="13"/>
      <c r="R197" s="2" t="e">
        <f t="shared" si="71"/>
        <v>#VALUE!</v>
      </c>
      <c r="S197" s="2" t="e">
        <f t="shared" si="72"/>
        <v>#VALUE!</v>
      </c>
      <c r="T197" s="2" t="e">
        <f t="shared" ca="1" si="59"/>
        <v>#VALUE!</v>
      </c>
      <c r="U197" s="2" t="e">
        <f t="shared" si="73"/>
        <v>#VALUE!</v>
      </c>
      <c r="V197" s="2" t="e">
        <f t="shared" si="60"/>
        <v>#VALUE!</v>
      </c>
      <c r="W197" s="2">
        <f t="shared" si="61"/>
        <v>477.4153</v>
      </c>
      <c r="X197" s="2" t="e">
        <f t="shared" ca="1" si="62"/>
        <v>#VALUE!</v>
      </c>
      <c r="Y197" s="2" t="e">
        <f t="shared" ca="1" si="63"/>
        <v>#VALUE!</v>
      </c>
      <c r="Z197" s="10">
        <f t="shared" si="64"/>
        <v>0.57555921945166755</v>
      </c>
      <c r="AA197" s="10" t="e">
        <f t="shared" ca="1" si="51"/>
        <v>#VALUE!</v>
      </c>
      <c r="AB197" s="11" t="e">
        <f t="shared" si="65"/>
        <v>#VALUE!</v>
      </c>
      <c r="AC197" s="11" t="e">
        <f>SUM($S$31:S197)/$V$31</f>
        <v>#VALUE!</v>
      </c>
      <c r="AD197" s="11" t="e">
        <f>SUM($S$31:S197,$R$31:R197,$T$31:T197)/$V$31</f>
        <v>#VALUE!</v>
      </c>
      <c r="AE197" s="11" t="e">
        <f>SUM($M$31:M197)/$V$31</f>
        <v>#VALUE!</v>
      </c>
      <c r="AF197" s="11" t="e">
        <f ca="1">SUM(SUM($M$31:M197),-SUM($T$31:T197))/$V$31</f>
        <v>#VALUE!</v>
      </c>
      <c r="AG197">
        <f t="shared" si="52"/>
        <v>27722</v>
      </c>
    </row>
    <row r="198" spans="2:33" x14ac:dyDescent="0.15">
      <c r="B198" s="1">
        <f t="shared" si="66"/>
        <v>167</v>
      </c>
      <c r="C198" s="1">
        <f t="shared" si="53"/>
        <v>167</v>
      </c>
      <c r="D198" s="25">
        <v>3.8656181331190302E-2</v>
      </c>
      <c r="E198" s="2">
        <f t="shared" si="54"/>
        <v>68124.429069037462</v>
      </c>
      <c r="F198" s="3">
        <f t="shared" si="67"/>
        <v>0.04</v>
      </c>
      <c r="G198" s="2">
        <f t="shared" si="68"/>
        <v>477.4153</v>
      </c>
      <c r="H198" s="2">
        <f t="shared" si="69"/>
        <v>227.08143023012488</v>
      </c>
      <c r="I198" s="2">
        <f t="shared" si="70"/>
        <v>250.33386976987512</v>
      </c>
      <c r="J198" s="2">
        <f t="shared" si="55"/>
        <v>67874.095199267584</v>
      </c>
      <c r="K198" s="2" t="e">
        <f t="shared" si="74"/>
        <v>#VALUE!</v>
      </c>
      <c r="L198" s="9">
        <v>1.6821425527395739E-3</v>
      </c>
      <c r="M198" s="2" t="e">
        <f t="shared" si="56"/>
        <v>#VALUE!</v>
      </c>
      <c r="N198" s="3">
        <f t="shared" si="57"/>
        <v>0.04</v>
      </c>
      <c r="O198" s="2" t="e">
        <f t="shared" si="58"/>
        <v>#VALUE!</v>
      </c>
      <c r="P198" s="10">
        <f t="shared" si="50"/>
        <v>0.67874095199267581</v>
      </c>
      <c r="Q198" s="13"/>
      <c r="R198" s="2" t="e">
        <f t="shared" si="71"/>
        <v>#VALUE!</v>
      </c>
      <c r="S198" s="2" t="e">
        <f t="shared" si="72"/>
        <v>#VALUE!</v>
      </c>
      <c r="T198" s="2" t="e">
        <f t="shared" ca="1" si="59"/>
        <v>#VALUE!</v>
      </c>
      <c r="U198" s="2" t="e">
        <f t="shared" si="73"/>
        <v>#VALUE!</v>
      </c>
      <c r="V198" s="2" t="e">
        <f t="shared" si="60"/>
        <v>#VALUE!</v>
      </c>
      <c r="W198" s="2">
        <f t="shared" si="61"/>
        <v>477.4153</v>
      </c>
      <c r="X198" s="2" t="e">
        <f t="shared" ca="1" si="62"/>
        <v>#VALUE!</v>
      </c>
      <c r="Y198" s="2" t="e">
        <f t="shared" ca="1" si="63"/>
        <v>#VALUE!</v>
      </c>
      <c r="Z198" s="10">
        <f t="shared" si="64"/>
        <v>0.57364706257690212</v>
      </c>
      <c r="AA198" s="10" t="e">
        <f t="shared" ca="1" si="51"/>
        <v>#VALUE!</v>
      </c>
      <c r="AB198" s="11" t="e">
        <f t="shared" si="65"/>
        <v>#VALUE!</v>
      </c>
      <c r="AC198" s="11" t="e">
        <f>SUM($S$31:S198)/$V$31</f>
        <v>#VALUE!</v>
      </c>
      <c r="AD198" s="11" t="e">
        <f>SUM($S$31:S198,$R$31:R198,$T$31:T198)/$V$31</f>
        <v>#VALUE!</v>
      </c>
      <c r="AE198" s="11" t="e">
        <f>SUM($M$31:M198)/$V$31</f>
        <v>#VALUE!</v>
      </c>
      <c r="AF198" s="11" t="e">
        <f ca="1">SUM(SUM($M$31:M198),-SUM($T$31:T198))/$V$31</f>
        <v>#VALUE!</v>
      </c>
      <c r="AG198">
        <f t="shared" si="52"/>
        <v>28056</v>
      </c>
    </row>
    <row r="199" spans="2:33" x14ac:dyDescent="0.15">
      <c r="B199" s="1">
        <f t="shared" si="66"/>
        <v>168</v>
      </c>
      <c r="C199" s="1">
        <f t="shared" si="53"/>
        <v>168</v>
      </c>
      <c r="D199" s="25">
        <v>3.8626537088662899E-2</v>
      </c>
      <c r="E199" s="2">
        <f t="shared" si="54"/>
        <v>67874.095199267584</v>
      </c>
      <c r="F199" s="3">
        <f t="shared" si="67"/>
        <v>0.04</v>
      </c>
      <c r="G199" s="2">
        <f t="shared" si="68"/>
        <v>477.4153</v>
      </c>
      <c r="H199" s="2">
        <f t="shared" si="69"/>
        <v>226.24698399755863</v>
      </c>
      <c r="I199" s="2">
        <f t="shared" si="70"/>
        <v>251.16831600244137</v>
      </c>
      <c r="J199" s="2">
        <f t="shared" si="55"/>
        <v>67622.926883265143</v>
      </c>
      <c r="K199" s="2" t="e">
        <f t="shared" si="74"/>
        <v>#VALUE!</v>
      </c>
      <c r="L199" s="9">
        <v>1.6821425527395739E-3</v>
      </c>
      <c r="M199" s="2" t="e">
        <f t="shared" si="56"/>
        <v>#VALUE!</v>
      </c>
      <c r="N199" s="3">
        <f t="shared" si="57"/>
        <v>0.04</v>
      </c>
      <c r="O199" s="2" t="e">
        <f t="shared" si="58"/>
        <v>#VALUE!</v>
      </c>
      <c r="P199" s="10">
        <f t="shared" si="50"/>
        <v>0.67622926883265144</v>
      </c>
      <c r="Q199" s="13"/>
      <c r="R199" s="2" t="e">
        <f t="shared" si="71"/>
        <v>#VALUE!</v>
      </c>
      <c r="S199" s="2" t="e">
        <f t="shared" si="72"/>
        <v>#VALUE!</v>
      </c>
      <c r="T199" s="2" t="e">
        <f t="shared" ca="1" si="59"/>
        <v>#VALUE!</v>
      </c>
      <c r="U199" s="2" t="e">
        <f t="shared" si="73"/>
        <v>#VALUE!</v>
      </c>
      <c r="V199" s="2" t="e">
        <f t="shared" si="60"/>
        <v>#VALUE!</v>
      </c>
      <c r="W199" s="2">
        <f t="shared" si="61"/>
        <v>477.4153</v>
      </c>
      <c r="X199" s="2" t="e">
        <f t="shared" ca="1" si="62"/>
        <v>#VALUE!</v>
      </c>
      <c r="Y199" s="2" t="e">
        <f t="shared" ca="1" si="63"/>
        <v>#VALUE!</v>
      </c>
      <c r="Z199" s="10">
        <f t="shared" si="64"/>
        <v>0.57174125838278211</v>
      </c>
      <c r="AA199" s="10" t="e">
        <f t="shared" ca="1" si="51"/>
        <v>#VALUE!</v>
      </c>
      <c r="AB199" s="11" t="e">
        <f t="shared" si="65"/>
        <v>#VALUE!</v>
      </c>
      <c r="AC199" s="11" t="e">
        <f>SUM($S$31:S199)/$V$31</f>
        <v>#VALUE!</v>
      </c>
      <c r="AD199" s="11" t="e">
        <f>SUM($S$31:S199,$R$31:R199,$T$31:T199)/$V$31</f>
        <v>#VALUE!</v>
      </c>
      <c r="AE199" s="11" t="e">
        <f>SUM($M$31:M199)/$V$31</f>
        <v>#VALUE!</v>
      </c>
      <c r="AF199" s="11" t="e">
        <f ca="1">SUM(SUM($M$31:M199),-SUM($T$31:T199))/$V$31</f>
        <v>#VALUE!</v>
      </c>
      <c r="AG199">
        <f t="shared" si="52"/>
        <v>28392</v>
      </c>
    </row>
    <row r="200" spans="2:33" x14ac:dyDescent="0.15">
      <c r="B200" s="1">
        <f t="shared" si="66"/>
        <v>169</v>
      </c>
      <c r="C200" s="1">
        <f t="shared" si="53"/>
        <v>169</v>
      </c>
      <c r="D200" s="25">
        <v>3.8589982844793001E-2</v>
      </c>
      <c r="E200" s="2">
        <f t="shared" si="54"/>
        <v>67622.926883265143</v>
      </c>
      <c r="F200" s="3">
        <f t="shared" si="67"/>
        <v>0.04</v>
      </c>
      <c r="G200" s="2">
        <f t="shared" si="68"/>
        <v>477.4153</v>
      </c>
      <c r="H200" s="2">
        <f t="shared" si="69"/>
        <v>225.40975627755049</v>
      </c>
      <c r="I200" s="2">
        <f t="shared" si="70"/>
        <v>252.00554372244952</v>
      </c>
      <c r="J200" s="2">
        <f t="shared" si="55"/>
        <v>67370.921339542692</v>
      </c>
      <c r="K200" s="2" t="e">
        <f t="shared" si="74"/>
        <v>#VALUE!</v>
      </c>
      <c r="L200" s="9">
        <v>1.6821425527395739E-3</v>
      </c>
      <c r="M200" s="2" t="e">
        <f t="shared" si="56"/>
        <v>#VALUE!</v>
      </c>
      <c r="N200" s="3">
        <f t="shared" si="57"/>
        <v>0.04</v>
      </c>
      <c r="O200" s="2" t="e">
        <f t="shared" si="58"/>
        <v>#VALUE!</v>
      </c>
      <c r="P200" s="10">
        <f t="shared" si="50"/>
        <v>0.67370921339542689</v>
      </c>
      <c r="Q200" s="13"/>
      <c r="R200" s="2" t="e">
        <f t="shared" si="71"/>
        <v>#VALUE!</v>
      </c>
      <c r="S200" s="2" t="e">
        <f t="shared" si="72"/>
        <v>#VALUE!</v>
      </c>
      <c r="T200" s="2" t="e">
        <f t="shared" ca="1" si="59"/>
        <v>#VALUE!</v>
      </c>
      <c r="U200" s="2" t="e">
        <f t="shared" si="73"/>
        <v>#VALUE!</v>
      </c>
      <c r="V200" s="2" t="e">
        <f t="shared" si="60"/>
        <v>#VALUE!</v>
      </c>
      <c r="W200" s="2">
        <f t="shared" si="61"/>
        <v>477.4153</v>
      </c>
      <c r="X200" s="2" t="e">
        <f t="shared" ca="1" si="62"/>
        <v>#VALUE!</v>
      </c>
      <c r="Y200" s="2" t="e">
        <f t="shared" ca="1" si="63"/>
        <v>#VALUE!</v>
      </c>
      <c r="Z200" s="10">
        <f t="shared" si="64"/>
        <v>0.5698417857640562</v>
      </c>
      <c r="AA200" s="10" t="e">
        <f t="shared" ca="1" si="51"/>
        <v>#VALUE!</v>
      </c>
      <c r="AB200" s="11" t="e">
        <f t="shared" si="65"/>
        <v>#VALUE!</v>
      </c>
      <c r="AC200" s="11" t="e">
        <f>SUM($S$31:S200)/$V$31</f>
        <v>#VALUE!</v>
      </c>
      <c r="AD200" s="11" t="e">
        <f>SUM($S$31:S200,$R$31:R200,$T$31:T200)/$V$31</f>
        <v>#VALUE!</v>
      </c>
      <c r="AE200" s="11" t="e">
        <f>SUM($M$31:M200)/$V$31</f>
        <v>#VALUE!</v>
      </c>
      <c r="AF200" s="11" t="e">
        <f ca="1">SUM(SUM($M$31:M200),-SUM($T$31:T200))/$V$31</f>
        <v>#VALUE!</v>
      </c>
      <c r="AG200">
        <f t="shared" si="52"/>
        <v>28730</v>
      </c>
    </row>
    <row r="201" spans="2:33" x14ac:dyDescent="0.15">
      <c r="B201" s="1">
        <f t="shared" si="66"/>
        <v>170</v>
      </c>
      <c r="C201" s="1">
        <f t="shared" si="53"/>
        <v>170</v>
      </c>
      <c r="D201" s="25">
        <v>3.8563881957533498E-2</v>
      </c>
      <c r="E201" s="2">
        <f t="shared" si="54"/>
        <v>67370.921339542692</v>
      </c>
      <c r="F201" s="3">
        <f t="shared" si="67"/>
        <v>0.04</v>
      </c>
      <c r="G201" s="2">
        <f t="shared" si="68"/>
        <v>477.4153</v>
      </c>
      <c r="H201" s="2">
        <f t="shared" si="69"/>
        <v>224.56973779847564</v>
      </c>
      <c r="I201" s="2">
        <f t="shared" si="70"/>
        <v>252.84556220152436</v>
      </c>
      <c r="J201" s="2">
        <f t="shared" si="55"/>
        <v>67118.075777341175</v>
      </c>
      <c r="K201" s="2" t="e">
        <f t="shared" si="74"/>
        <v>#VALUE!</v>
      </c>
      <c r="L201" s="9">
        <v>1.6821425527395739E-3</v>
      </c>
      <c r="M201" s="2" t="e">
        <f t="shared" si="56"/>
        <v>#VALUE!</v>
      </c>
      <c r="N201" s="3">
        <f t="shared" si="57"/>
        <v>0.04</v>
      </c>
      <c r="O201" s="2" t="e">
        <f t="shared" si="58"/>
        <v>#VALUE!</v>
      </c>
      <c r="P201" s="10">
        <f t="shared" si="50"/>
        <v>0.6711807577734118</v>
      </c>
      <c r="Q201" s="13"/>
      <c r="R201" s="2" t="e">
        <f t="shared" si="71"/>
        <v>#VALUE!</v>
      </c>
      <c r="S201" s="2" t="e">
        <f t="shared" si="72"/>
        <v>#VALUE!</v>
      </c>
      <c r="T201" s="2" t="e">
        <f t="shared" ca="1" si="59"/>
        <v>#VALUE!</v>
      </c>
      <c r="U201" s="2" t="e">
        <f t="shared" si="73"/>
        <v>#VALUE!</v>
      </c>
      <c r="V201" s="2" t="e">
        <f t="shared" si="60"/>
        <v>#VALUE!</v>
      </c>
      <c r="W201" s="2">
        <f t="shared" si="61"/>
        <v>477.4153</v>
      </c>
      <c r="X201" s="2" t="e">
        <f t="shared" ca="1" si="62"/>
        <v>#VALUE!</v>
      </c>
      <c r="Y201" s="2" t="e">
        <f t="shared" ca="1" si="63"/>
        <v>#VALUE!</v>
      </c>
      <c r="Z201" s="10">
        <f t="shared" si="64"/>
        <v>0.56794862368559007</v>
      </c>
      <c r="AA201" s="10" t="e">
        <f t="shared" ca="1" si="51"/>
        <v>#VALUE!</v>
      </c>
      <c r="AB201" s="11" t="e">
        <f t="shared" si="65"/>
        <v>#VALUE!</v>
      </c>
      <c r="AC201" s="11" t="e">
        <f>SUM($S$31:S201)/$V$31</f>
        <v>#VALUE!</v>
      </c>
      <c r="AD201" s="11" t="e">
        <f>SUM($S$31:S201,$R$31:R201,$T$31:T201)/$V$31</f>
        <v>#VALUE!</v>
      </c>
      <c r="AE201" s="11" t="e">
        <f>SUM($M$31:M201)/$V$31</f>
        <v>#VALUE!</v>
      </c>
      <c r="AF201" s="11" t="e">
        <f ca="1">SUM(SUM($M$31:M201),-SUM($T$31:T201))/$V$31</f>
        <v>#VALUE!</v>
      </c>
      <c r="AG201">
        <f t="shared" si="52"/>
        <v>29070</v>
      </c>
    </row>
    <row r="202" spans="2:33" x14ac:dyDescent="0.15">
      <c r="B202" s="1">
        <f t="shared" si="66"/>
        <v>171</v>
      </c>
      <c r="C202" s="1">
        <f t="shared" si="53"/>
        <v>171</v>
      </c>
      <c r="D202" s="25">
        <v>3.8526211463448798E-2</v>
      </c>
      <c r="E202" s="2">
        <f t="shared" si="54"/>
        <v>67118.075777341175</v>
      </c>
      <c r="F202" s="3">
        <f t="shared" si="67"/>
        <v>0.04</v>
      </c>
      <c r="G202" s="2">
        <f t="shared" si="68"/>
        <v>477.4153</v>
      </c>
      <c r="H202" s="2">
        <f t="shared" si="69"/>
        <v>223.72691925780393</v>
      </c>
      <c r="I202" s="2">
        <f t="shared" si="70"/>
        <v>253.68838074219607</v>
      </c>
      <c r="J202" s="2">
        <f t="shared" si="55"/>
        <v>66864.387396598977</v>
      </c>
      <c r="K202" s="2" t="e">
        <f t="shared" si="74"/>
        <v>#VALUE!</v>
      </c>
      <c r="L202" s="9">
        <v>1.6821425527395739E-3</v>
      </c>
      <c r="M202" s="2" t="e">
        <f t="shared" si="56"/>
        <v>#VALUE!</v>
      </c>
      <c r="N202" s="3">
        <f t="shared" si="57"/>
        <v>0.04</v>
      </c>
      <c r="O202" s="2" t="e">
        <f t="shared" si="58"/>
        <v>#VALUE!</v>
      </c>
      <c r="P202" s="10">
        <f t="shared" si="50"/>
        <v>0.66864387396598979</v>
      </c>
      <c r="Q202" s="13"/>
      <c r="R202" s="2" t="e">
        <f t="shared" si="71"/>
        <v>#VALUE!</v>
      </c>
      <c r="S202" s="2" t="e">
        <f t="shared" si="72"/>
        <v>#VALUE!</v>
      </c>
      <c r="T202" s="2" t="e">
        <f t="shared" ca="1" si="59"/>
        <v>#VALUE!</v>
      </c>
      <c r="U202" s="2" t="e">
        <f t="shared" si="73"/>
        <v>#VALUE!</v>
      </c>
      <c r="V202" s="2" t="e">
        <f t="shared" si="60"/>
        <v>#VALUE!</v>
      </c>
      <c r="W202" s="2">
        <f t="shared" si="61"/>
        <v>477.4153</v>
      </c>
      <c r="X202" s="2" t="e">
        <f t="shared" ca="1" si="62"/>
        <v>#VALUE!</v>
      </c>
      <c r="Y202" s="2" t="e">
        <f t="shared" ca="1" si="63"/>
        <v>#VALUE!</v>
      </c>
      <c r="Z202" s="10">
        <f t="shared" si="64"/>
        <v>0.56606175118213409</v>
      </c>
      <c r="AA202" s="10" t="e">
        <f t="shared" ca="1" si="51"/>
        <v>#VALUE!</v>
      </c>
      <c r="AB202" s="11" t="e">
        <f t="shared" si="65"/>
        <v>#VALUE!</v>
      </c>
      <c r="AC202" s="11" t="e">
        <f>SUM($S$31:S202)/$V$31</f>
        <v>#VALUE!</v>
      </c>
      <c r="AD202" s="11" t="e">
        <f>SUM($S$31:S202,$R$31:R202,$T$31:T202)/$V$31</f>
        <v>#VALUE!</v>
      </c>
      <c r="AE202" s="11" t="e">
        <f>SUM($M$31:M202)/$V$31</f>
        <v>#VALUE!</v>
      </c>
      <c r="AF202" s="11" t="e">
        <f ca="1">SUM(SUM($M$31:M202),-SUM($T$31:T202))/$V$31</f>
        <v>#VALUE!</v>
      </c>
      <c r="AG202">
        <f t="shared" si="52"/>
        <v>29412</v>
      </c>
    </row>
    <row r="203" spans="2:33" x14ac:dyDescent="0.15">
      <c r="B203" s="1">
        <f t="shared" si="66"/>
        <v>172</v>
      </c>
      <c r="C203" s="1">
        <f t="shared" si="53"/>
        <v>172</v>
      </c>
      <c r="D203" s="25">
        <v>3.8490507290962504E-2</v>
      </c>
      <c r="E203" s="2">
        <f t="shared" si="54"/>
        <v>66864.387396598977</v>
      </c>
      <c r="F203" s="3">
        <f t="shared" si="67"/>
        <v>0.04</v>
      </c>
      <c r="G203" s="2">
        <f t="shared" si="68"/>
        <v>477.4153</v>
      </c>
      <c r="H203" s="2">
        <f t="shared" si="69"/>
        <v>222.8812913219966</v>
      </c>
      <c r="I203" s="2">
        <f t="shared" si="70"/>
        <v>254.5340086780034</v>
      </c>
      <c r="J203" s="2">
        <f t="shared" si="55"/>
        <v>66609.853387920972</v>
      </c>
      <c r="K203" s="2" t="e">
        <f t="shared" si="74"/>
        <v>#VALUE!</v>
      </c>
      <c r="L203" s="9">
        <v>1.6821425527395739E-3</v>
      </c>
      <c r="M203" s="2" t="e">
        <f t="shared" si="56"/>
        <v>#VALUE!</v>
      </c>
      <c r="N203" s="3">
        <f t="shared" si="57"/>
        <v>0.04</v>
      </c>
      <c r="O203" s="2" t="e">
        <f t="shared" si="58"/>
        <v>#VALUE!</v>
      </c>
      <c r="P203" s="10">
        <f t="shared" si="50"/>
        <v>0.6660985338792097</v>
      </c>
      <c r="Q203" s="13"/>
      <c r="R203" s="2" t="e">
        <f t="shared" si="71"/>
        <v>#VALUE!</v>
      </c>
      <c r="S203" s="2" t="e">
        <f t="shared" si="72"/>
        <v>#VALUE!</v>
      </c>
      <c r="T203" s="2" t="e">
        <f t="shared" ca="1" si="59"/>
        <v>#VALUE!</v>
      </c>
      <c r="U203" s="2" t="e">
        <f t="shared" si="73"/>
        <v>#VALUE!</v>
      </c>
      <c r="V203" s="2" t="e">
        <f t="shared" si="60"/>
        <v>#VALUE!</v>
      </c>
      <c r="W203" s="2">
        <f t="shared" si="61"/>
        <v>477.4153</v>
      </c>
      <c r="X203" s="2" t="e">
        <f t="shared" ca="1" si="62"/>
        <v>#VALUE!</v>
      </c>
      <c r="Y203" s="2" t="e">
        <f t="shared" ca="1" si="63"/>
        <v>#VALUE!</v>
      </c>
      <c r="Z203" s="10">
        <f t="shared" si="64"/>
        <v>0.56418114735808989</v>
      </c>
      <c r="AA203" s="10" t="e">
        <f t="shared" ca="1" si="51"/>
        <v>#VALUE!</v>
      </c>
      <c r="AB203" s="11" t="e">
        <f t="shared" si="65"/>
        <v>#VALUE!</v>
      </c>
      <c r="AC203" s="11" t="e">
        <f>SUM($S$31:S203)/$V$31</f>
        <v>#VALUE!</v>
      </c>
      <c r="AD203" s="11" t="e">
        <f>SUM($S$31:S203,$R$31:R203,$T$31:T203)/$V$31</f>
        <v>#VALUE!</v>
      </c>
      <c r="AE203" s="11" t="e">
        <f>SUM($M$31:M203)/$V$31</f>
        <v>#VALUE!</v>
      </c>
      <c r="AF203" s="11" t="e">
        <f ca="1">SUM(SUM($M$31:M203),-SUM($T$31:T203))/$V$31</f>
        <v>#VALUE!</v>
      </c>
      <c r="AG203">
        <f t="shared" si="52"/>
        <v>29756</v>
      </c>
    </row>
    <row r="204" spans="2:33" x14ac:dyDescent="0.15">
      <c r="B204" s="1">
        <f t="shared" si="66"/>
        <v>173</v>
      </c>
      <c r="C204" s="1">
        <f t="shared" si="53"/>
        <v>173</v>
      </c>
      <c r="D204" s="25">
        <v>3.8448475752350303E-2</v>
      </c>
      <c r="E204" s="2">
        <f t="shared" si="54"/>
        <v>66609.853387920972</v>
      </c>
      <c r="F204" s="3">
        <f t="shared" si="67"/>
        <v>0.04</v>
      </c>
      <c r="G204" s="2">
        <f t="shared" si="68"/>
        <v>477.4153</v>
      </c>
      <c r="H204" s="2">
        <f t="shared" si="69"/>
        <v>222.03284462640326</v>
      </c>
      <c r="I204" s="2">
        <f t="shared" si="70"/>
        <v>255.38245537359674</v>
      </c>
      <c r="J204" s="2">
        <f t="shared" si="55"/>
        <v>66354.470932547381</v>
      </c>
      <c r="K204" s="2" t="e">
        <f t="shared" si="74"/>
        <v>#VALUE!</v>
      </c>
      <c r="L204" s="9">
        <v>1.6821425527395739E-3</v>
      </c>
      <c r="M204" s="2" t="e">
        <f t="shared" si="56"/>
        <v>#VALUE!</v>
      </c>
      <c r="N204" s="3">
        <f t="shared" si="57"/>
        <v>0.04</v>
      </c>
      <c r="O204" s="2" t="e">
        <f t="shared" si="58"/>
        <v>#VALUE!</v>
      </c>
      <c r="P204" s="10">
        <f t="shared" si="50"/>
        <v>0.66354470932547382</v>
      </c>
      <c r="Q204" s="13"/>
      <c r="R204" s="2" t="e">
        <f t="shared" si="71"/>
        <v>#VALUE!</v>
      </c>
      <c r="S204" s="2" t="e">
        <f t="shared" si="72"/>
        <v>#VALUE!</v>
      </c>
      <c r="T204" s="2" t="e">
        <f t="shared" ca="1" si="59"/>
        <v>#VALUE!</v>
      </c>
      <c r="U204" s="2" t="e">
        <f t="shared" si="73"/>
        <v>#VALUE!</v>
      </c>
      <c r="V204" s="2" t="e">
        <f t="shared" si="60"/>
        <v>#VALUE!</v>
      </c>
      <c r="W204" s="2">
        <f t="shared" si="61"/>
        <v>477.4153</v>
      </c>
      <c r="X204" s="2" t="e">
        <f t="shared" ca="1" si="62"/>
        <v>#VALUE!</v>
      </c>
      <c r="Y204" s="2" t="e">
        <f t="shared" ca="1" si="63"/>
        <v>#VALUE!</v>
      </c>
      <c r="Z204" s="10">
        <f t="shared" si="64"/>
        <v>0.56230679138728012</v>
      </c>
      <c r="AA204" s="10" t="e">
        <f t="shared" ca="1" si="51"/>
        <v>#VALUE!</v>
      </c>
      <c r="AB204" s="11" t="e">
        <f t="shared" si="65"/>
        <v>#VALUE!</v>
      </c>
      <c r="AC204" s="11" t="e">
        <f>SUM($S$31:S204)/$V$31</f>
        <v>#VALUE!</v>
      </c>
      <c r="AD204" s="11" t="e">
        <f>SUM($S$31:S204,$R$31:R204,$T$31:T204)/$V$31</f>
        <v>#VALUE!</v>
      </c>
      <c r="AE204" s="11" t="e">
        <f>SUM($M$31:M204)/$V$31</f>
        <v>#VALUE!</v>
      </c>
      <c r="AF204" s="11" t="e">
        <f ca="1">SUM(SUM($M$31:M204),-SUM($T$31:T204))/$V$31</f>
        <v>#VALUE!</v>
      </c>
      <c r="AG204">
        <f t="shared" si="52"/>
        <v>30102</v>
      </c>
    </row>
    <row r="205" spans="2:33" x14ac:dyDescent="0.15">
      <c r="B205" s="1">
        <f t="shared" si="66"/>
        <v>174</v>
      </c>
      <c r="C205" s="1">
        <f t="shared" si="53"/>
        <v>174</v>
      </c>
      <c r="D205" s="25">
        <v>3.8408393894607998E-2</v>
      </c>
      <c r="E205" s="2">
        <f t="shared" si="54"/>
        <v>66354.470932547381</v>
      </c>
      <c r="F205" s="3">
        <f t="shared" si="67"/>
        <v>0.04</v>
      </c>
      <c r="G205" s="2">
        <f t="shared" si="68"/>
        <v>477.4153</v>
      </c>
      <c r="H205" s="2">
        <f t="shared" si="69"/>
        <v>221.18156977515795</v>
      </c>
      <c r="I205" s="2">
        <f t="shared" si="70"/>
        <v>256.23373022484202</v>
      </c>
      <c r="J205" s="2">
        <f t="shared" si="55"/>
        <v>66098.237202322533</v>
      </c>
      <c r="K205" s="2" t="e">
        <f t="shared" si="74"/>
        <v>#VALUE!</v>
      </c>
      <c r="L205" s="9">
        <v>1.6821425527395739E-3</v>
      </c>
      <c r="M205" s="2" t="e">
        <f t="shared" si="56"/>
        <v>#VALUE!</v>
      </c>
      <c r="N205" s="3">
        <f t="shared" si="57"/>
        <v>0.04</v>
      </c>
      <c r="O205" s="2" t="e">
        <f t="shared" si="58"/>
        <v>#VALUE!</v>
      </c>
      <c r="P205" s="10">
        <f t="shared" si="50"/>
        <v>0.6609823720232253</v>
      </c>
      <c r="Q205" s="13"/>
      <c r="R205" s="2" t="e">
        <f t="shared" si="71"/>
        <v>#VALUE!</v>
      </c>
      <c r="S205" s="2" t="e">
        <f t="shared" si="72"/>
        <v>#VALUE!</v>
      </c>
      <c r="T205" s="2" t="e">
        <f t="shared" ca="1" si="59"/>
        <v>#VALUE!</v>
      </c>
      <c r="U205" s="2" t="e">
        <f t="shared" si="73"/>
        <v>#VALUE!</v>
      </c>
      <c r="V205" s="2" t="e">
        <f t="shared" si="60"/>
        <v>#VALUE!</v>
      </c>
      <c r="W205" s="2">
        <f t="shared" si="61"/>
        <v>477.4153</v>
      </c>
      <c r="X205" s="2" t="e">
        <f t="shared" ca="1" si="62"/>
        <v>#VALUE!</v>
      </c>
      <c r="Y205" s="2" t="e">
        <f t="shared" ca="1" si="63"/>
        <v>#VALUE!</v>
      </c>
      <c r="Z205" s="10">
        <f t="shared" si="64"/>
        <v>0.56043866251271723</v>
      </c>
      <c r="AA205" s="10" t="e">
        <f t="shared" ca="1" si="51"/>
        <v>#VALUE!</v>
      </c>
      <c r="AB205" s="11" t="e">
        <f t="shared" si="65"/>
        <v>#VALUE!</v>
      </c>
      <c r="AC205" s="11" t="e">
        <f>SUM($S$31:S205)/$V$31</f>
        <v>#VALUE!</v>
      </c>
      <c r="AD205" s="11" t="e">
        <f>SUM($S$31:S205,$R$31:R205,$T$31:T205)/$V$31</f>
        <v>#VALUE!</v>
      </c>
      <c r="AE205" s="11" t="e">
        <f>SUM($M$31:M205)/$V$31</f>
        <v>#VALUE!</v>
      </c>
      <c r="AF205" s="11" t="e">
        <f ca="1">SUM(SUM($M$31:M205),-SUM($T$31:T205))/$V$31</f>
        <v>#VALUE!</v>
      </c>
      <c r="AG205">
        <f t="shared" si="52"/>
        <v>30450</v>
      </c>
    </row>
    <row r="206" spans="2:33" x14ac:dyDescent="0.15">
      <c r="B206" s="1">
        <f t="shared" si="66"/>
        <v>175</v>
      </c>
      <c r="C206" s="1">
        <f t="shared" si="53"/>
        <v>175</v>
      </c>
      <c r="D206" s="25">
        <v>3.8363315248066396E-2</v>
      </c>
      <c r="E206" s="2">
        <f t="shared" si="54"/>
        <v>66098.237202322533</v>
      </c>
      <c r="F206" s="3">
        <f t="shared" si="67"/>
        <v>0.04</v>
      </c>
      <c r="G206" s="2">
        <f t="shared" si="68"/>
        <v>477.4153</v>
      </c>
      <c r="H206" s="2">
        <f t="shared" si="69"/>
        <v>220.32745734107513</v>
      </c>
      <c r="I206" s="2">
        <f t="shared" si="70"/>
        <v>257.08784265892484</v>
      </c>
      <c r="J206" s="2">
        <f t="shared" si="55"/>
        <v>65841.149359663614</v>
      </c>
      <c r="K206" s="2" t="e">
        <f t="shared" si="74"/>
        <v>#VALUE!</v>
      </c>
      <c r="L206" s="9">
        <v>1.6821425527395739E-3</v>
      </c>
      <c r="M206" s="2" t="e">
        <f t="shared" si="56"/>
        <v>#VALUE!</v>
      </c>
      <c r="N206" s="3">
        <f t="shared" si="57"/>
        <v>0.04</v>
      </c>
      <c r="O206" s="2" t="e">
        <f t="shared" si="58"/>
        <v>#VALUE!</v>
      </c>
      <c r="P206" s="10">
        <f t="shared" si="50"/>
        <v>0.65841149359663609</v>
      </c>
      <c r="Q206" s="13"/>
      <c r="R206" s="2" t="e">
        <f t="shared" si="71"/>
        <v>#VALUE!</v>
      </c>
      <c r="S206" s="2" t="e">
        <f t="shared" si="72"/>
        <v>#VALUE!</v>
      </c>
      <c r="T206" s="2" t="e">
        <f t="shared" ca="1" si="59"/>
        <v>#VALUE!</v>
      </c>
      <c r="U206" s="2" t="e">
        <f t="shared" si="73"/>
        <v>#VALUE!</v>
      </c>
      <c r="V206" s="2" t="e">
        <f t="shared" si="60"/>
        <v>#VALUE!</v>
      </c>
      <c r="W206" s="2">
        <f t="shared" si="61"/>
        <v>477.4153</v>
      </c>
      <c r="X206" s="2" t="e">
        <f t="shared" ca="1" si="62"/>
        <v>#VALUE!</v>
      </c>
      <c r="Y206" s="2" t="e">
        <f t="shared" ca="1" si="63"/>
        <v>#VALUE!</v>
      </c>
      <c r="Z206" s="10">
        <f t="shared" si="64"/>
        <v>0.55857674004637403</v>
      </c>
      <c r="AA206" s="10" t="e">
        <f t="shared" ca="1" si="51"/>
        <v>#VALUE!</v>
      </c>
      <c r="AB206" s="11" t="e">
        <f t="shared" si="65"/>
        <v>#VALUE!</v>
      </c>
      <c r="AC206" s="11" t="e">
        <f>SUM($S$31:S206)/$V$31</f>
        <v>#VALUE!</v>
      </c>
      <c r="AD206" s="11" t="e">
        <f>SUM($S$31:S206,$R$31:R206,$T$31:T206)/$V$31</f>
        <v>#VALUE!</v>
      </c>
      <c r="AE206" s="11" t="e">
        <f>SUM($M$31:M206)/$V$31</f>
        <v>#VALUE!</v>
      </c>
      <c r="AF206" s="11" t="e">
        <f ca="1">SUM(SUM($M$31:M206),-SUM($T$31:T206))/$V$31</f>
        <v>#VALUE!</v>
      </c>
      <c r="AG206">
        <f t="shared" si="52"/>
        <v>30800</v>
      </c>
    </row>
    <row r="207" spans="2:33" x14ac:dyDescent="0.15">
      <c r="B207" s="1">
        <f t="shared" si="66"/>
        <v>176</v>
      </c>
      <c r="C207" s="1">
        <f t="shared" si="53"/>
        <v>176</v>
      </c>
      <c r="D207" s="25">
        <v>3.8314708304031997E-2</v>
      </c>
      <c r="E207" s="2">
        <f t="shared" si="54"/>
        <v>65841.149359663614</v>
      </c>
      <c r="F207" s="3">
        <f t="shared" si="67"/>
        <v>0.04</v>
      </c>
      <c r="G207" s="2">
        <f t="shared" si="68"/>
        <v>477.4153</v>
      </c>
      <c r="H207" s="2">
        <f t="shared" si="69"/>
        <v>219.47049786554538</v>
      </c>
      <c r="I207" s="2">
        <f t="shared" si="70"/>
        <v>257.94480213445462</v>
      </c>
      <c r="J207" s="2">
        <f t="shared" si="55"/>
        <v>65583.204557529156</v>
      </c>
      <c r="K207" s="2" t="e">
        <f t="shared" si="74"/>
        <v>#VALUE!</v>
      </c>
      <c r="L207" s="9">
        <v>1.6821425527395739E-3</v>
      </c>
      <c r="M207" s="2" t="e">
        <f t="shared" si="56"/>
        <v>#VALUE!</v>
      </c>
      <c r="N207" s="3">
        <f t="shared" si="57"/>
        <v>0.04</v>
      </c>
      <c r="O207" s="2" t="e">
        <f t="shared" si="58"/>
        <v>#VALUE!</v>
      </c>
      <c r="P207" s="10">
        <f t="shared" si="50"/>
        <v>0.65583204557529151</v>
      </c>
      <c r="Q207" s="13"/>
      <c r="R207" s="2" t="e">
        <f t="shared" si="71"/>
        <v>#VALUE!</v>
      </c>
      <c r="S207" s="2" t="e">
        <f t="shared" si="72"/>
        <v>#VALUE!</v>
      </c>
      <c r="T207" s="2" t="e">
        <f t="shared" ca="1" si="59"/>
        <v>#VALUE!</v>
      </c>
      <c r="U207" s="2" t="e">
        <f t="shared" si="73"/>
        <v>#VALUE!</v>
      </c>
      <c r="V207" s="2" t="e">
        <f t="shared" si="60"/>
        <v>#VALUE!</v>
      </c>
      <c r="W207" s="2">
        <f t="shared" si="61"/>
        <v>477.4153</v>
      </c>
      <c r="X207" s="2" t="e">
        <f t="shared" ca="1" si="62"/>
        <v>#VALUE!</v>
      </c>
      <c r="Y207" s="2" t="e">
        <f t="shared" ca="1" si="63"/>
        <v>#VALUE!</v>
      </c>
      <c r="Z207" s="10">
        <f t="shared" si="64"/>
        <v>0.55672100336895392</v>
      </c>
      <c r="AA207" s="10" t="e">
        <f t="shared" ca="1" si="51"/>
        <v>#VALUE!</v>
      </c>
      <c r="AB207" s="11" t="e">
        <f t="shared" si="65"/>
        <v>#VALUE!</v>
      </c>
      <c r="AC207" s="11" t="e">
        <f>SUM($S$31:S207)/$V$31</f>
        <v>#VALUE!</v>
      </c>
      <c r="AD207" s="11" t="e">
        <f>SUM($S$31:S207,$R$31:R207,$T$31:T207)/$V$31</f>
        <v>#VALUE!</v>
      </c>
      <c r="AE207" s="11" t="e">
        <f>SUM($M$31:M207)/$V$31</f>
        <v>#VALUE!</v>
      </c>
      <c r="AF207" s="11" t="e">
        <f ca="1">SUM(SUM($M$31:M207),-SUM($T$31:T207))/$V$31</f>
        <v>#VALUE!</v>
      </c>
      <c r="AG207">
        <f t="shared" si="52"/>
        <v>31152</v>
      </c>
    </row>
    <row r="208" spans="2:33" x14ac:dyDescent="0.15">
      <c r="B208" s="1">
        <f t="shared" si="66"/>
        <v>177</v>
      </c>
      <c r="C208" s="1">
        <f t="shared" si="53"/>
        <v>177</v>
      </c>
      <c r="D208" s="25">
        <v>3.8268022483872399E-2</v>
      </c>
      <c r="E208" s="2">
        <f t="shared" si="54"/>
        <v>65583.204557529156</v>
      </c>
      <c r="F208" s="3">
        <f t="shared" si="67"/>
        <v>0.04</v>
      </c>
      <c r="G208" s="2">
        <f t="shared" si="68"/>
        <v>477.4153</v>
      </c>
      <c r="H208" s="2">
        <f t="shared" si="69"/>
        <v>218.61068185843052</v>
      </c>
      <c r="I208" s="2">
        <f t="shared" si="70"/>
        <v>258.80461814156945</v>
      </c>
      <c r="J208" s="2">
        <f t="shared" si="55"/>
        <v>65324.399939387586</v>
      </c>
      <c r="K208" s="2" t="e">
        <f t="shared" si="74"/>
        <v>#VALUE!</v>
      </c>
      <c r="L208" s="9">
        <v>1.6821425527395739E-3</v>
      </c>
      <c r="M208" s="2" t="e">
        <f t="shared" si="56"/>
        <v>#VALUE!</v>
      </c>
      <c r="N208" s="3">
        <f t="shared" si="57"/>
        <v>0.04</v>
      </c>
      <c r="O208" s="2" t="e">
        <f t="shared" si="58"/>
        <v>#VALUE!</v>
      </c>
      <c r="P208" s="10">
        <f t="shared" si="50"/>
        <v>0.6532439993938759</v>
      </c>
      <c r="Q208" s="13"/>
      <c r="R208" s="2" t="e">
        <f t="shared" si="71"/>
        <v>#VALUE!</v>
      </c>
      <c r="S208" s="2" t="e">
        <f t="shared" si="72"/>
        <v>#VALUE!</v>
      </c>
      <c r="T208" s="2" t="e">
        <f t="shared" ca="1" si="59"/>
        <v>#VALUE!</v>
      </c>
      <c r="U208" s="2" t="e">
        <f t="shared" si="73"/>
        <v>#VALUE!</v>
      </c>
      <c r="V208" s="2" t="e">
        <f t="shared" si="60"/>
        <v>#VALUE!</v>
      </c>
      <c r="W208" s="2">
        <f t="shared" si="61"/>
        <v>477.4153</v>
      </c>
      <c r="X208" s="2" t="e">
        <f t="shared" ca="1" si="62"/>
        <v>#VALUE!</v>
      </c>
      <c r="Y208" s="2" t="e">
        <f t="shared" ca="1" si="63"/>
        <v>#VALUE!</v>
      </c>
      <c r="Z208" s="10">
        <f t="shared" si="64"/>
        <v>0.55487143192966304</v>
      </c>
      <c r="AA208" s="10" t="e">
        <f t="shared" ca="1" si="51"/>
        <v>#VALUE!</v>
      </c>
      <c r="AB208" s="11" t="e">
        <f t="shared" si="65"/>
        <v>#VALUE!</v>
      </c>
      <c r="AC208" s="11" t="e">
        <f>SUM($S$31:S208)/$V$31</f>
        <v>#VALUE!</v>
      </c>
      <c r="AD208" s="11" t="e">
        <f>SUM($S$31:S208,$R$31:R208,$T$31:T208)/$V$31</f>
        <v>#VALUE!</v>
      </c>
      <c r="AE208" s="11" t="e">
        <f>SUM($M$31:M208)/$V$31</f>
        <v>#VALUE!</v>
      </c>
      <c r="AF208" s="11" t="e">
        <f ca="1">SUM(SUM($M$31:M208),-SUM($T$31:T208))/$V$31</f>
        <v>#VALUE!</v>
      </c>
      <c r="AG208">
        <f t="shared" si="52"/>
        <v>31506</v>
      </c>
    </row>
    <row r="209" spans="2:33" x14ac:dyDescent="0.15">
      <c r="B209" s="1">
        <f t="shared" si="66"/>
        <v>178</v>
      </c>
      <c r="C209" s="1">
        <f t="shared" si="53"/>
        <v>178</v>
      </c>
      <c r="D209" s="25">
        <v>3.8215057029937098E-2</v>
      </c>
      <c r="E209" s="2">
        <f t="shared" si="54"/>
        <v>65324.399939387586</v>
      </c>
      <c r="F209" s="3">
        <f t="shared" si="67"/>
        <v>0.04</v>
      </c>
      <c r="G209" s="2">
        <f t="shared" si="68"/>
        <v>477.4153</v>
      </c>
      <c r="H209" s="2">
        <f t="shared" si="69"/>
        <v>217.74799979795864</v>
      </c>
      <c r="I209" s="2">
        <f t="shared" si="70"/>
        <v>259.66730020204136</v>
      </c>
      <c r="J209" s="2">
        <f t="shared" si="55"/>
        <v>65064.732639185546</v>
      </c>
      <c r="K209" s="2" t="e">
        <f t="shared" si="74"/>
        <v>#VALUE!</v>
      </c>
      <c r="L209" s="9">
        <v>1.6821425527395739E-3</v>
      </c>
      <c r="M209" s="2" t="e">
        <f t="shared" si="56"/>
        <v>#VALUE!</v>
      </c>
      <c r="N209" s="3">
        <f t="shared" si="57"/>
        <v>0.04</v>
      </c>
      <c r="O209" s="2" t="e">
        <f t="shared" si="58"/>
        <v>#VALUE!</v>
      </c>
      <c r="P209" s="10">
        <f t="shared" si="50"/>
        <v>0.65064732639185541</v>
      </c>
      <c r="Q209" s="13"/>
      <c r="R209" s="2" t="e">
        <f t="shared" si="71"/>
        <v>#VALUE!</v>
      </c>
      <c r="S209" s="2" t="e">
        <f t="shared" si="72"/>
        <v>#VALUE!</v>
      </c>
      <c r="T209" s="2" t="e">
        <f t="shared" ca="1" si="59"/>
        <v>#VALUE!</v>
      </c>
      <c r="U209" s="2" t="e">
        <f t="shared" si="73"/>
        <v>#VALUE!</v>
      </c>
      <c r="V209" s="2" t="e">
        <f t="shared" si="60"/>
        <v>#VALUE!</v>
      </c>
      <c r="W209" s="2">
        <f t="shared" si="61"/>
        <v>477.4153</v>
      </c>
      <c r="X209" s="2" t="e">
        <f t="shared" ca="1" si="62"/>
        <v>#VALUE!</v>
      </c>
      <c r="Y209" s="2" t="e">
        <f t="shared" ca="1" si="63"/>
        <v>#VALUE!</v>
      </c>
      <c r="Z209" s="10">
        <f t="shared" si="64"/>
        <v>0.55302800524598306</v>
      </c>
      <c r="AA209" s="10" t="e">
        <f t="shared" ca="1" si="51"/>
        <v>#VALUE!</v>
      </c>
      <c r="AB209" s="11" t="e">
        <f t="shared" si="65"/>
        <v>#VALUE!</v>
      </c>
      <c r="AC209" s="11" t="e">
        <f>SUM($S$31:S209)/$V$31</f>
        <v>#VALUE!</v>
      </c>
      <c r="AD209" s="11" t="e">
        <f>SUM($S$31:S209,$R$31:R209,$T$31:T209)/$V$31</f>
        <v>#VALUE!</v>
      </c>
      <c r="AE209" s="11" t="e">
        <f>SUM($M$31:M209)/$V$31</f>
        <v>#VALUE!</v>
      </c>
      <c r="AF209" s="11" t="e">
        <f ca="1">SUM(SUM($M$31:M209),-SUM($T$31:T209))/$V$31</f>
        <v>#VALUE!</v>
      </c>
      <c r="AG209">
        <f t="shared" si="52"/>
        <v>31862</v>
      </c>
    </row>
    <row r="210" spans="2:33" x14ac:dyDescent="0.15">
      <c r="B210" s="1">
        <f t="shared" si="66"/>
        <v>179</v>
      </c>
      <c r="C210" s="1">
        <f t="shared" si="53"/>
        <v>179</v>
      </c>
      <c r="D210" s="25">
        <v>3.8163991490504402E-2</v>
      </c>
      <c r="E210" s="2">
        <f t="shared" si="54"/>
        <v>65064.732639185546</v>
      </c>
      <c r="F210" s="3">
        <f t="shared" si="67"/>
        <v>0.04</v>
      </c>
      <c r="G210" s="2">
        <f t="shared" si="68"/>
        <v>477.4153</v>
      </c>
      <c r="H210" s="2">
        <f t="shared" si="69"/>
        <v>216.8824421306185</v>
      </c>
      <c r="I210" s="2">
        <f t="shared" si="70"/>
        <v>260.53285786938147</v>
      </c>
      <c r="J210" s="2">
        <f t="shared" si="55"/>
        <v>64804.199781316165</v>
      </c>
      <c r="K210" s="2" t="e">
        <f t="shared" si="74"/>
        <v>#VALUE!</v>
      </c>
      <c r="L210" s="9">
        <v>1.6821425527395739E-3</v>
      </c>
      <c r="M210" s="2" t="e">
        <f t="shared" si="56"/>
        <v>#VALUE!</v>
      </c>
      <c r="N210" s="3">
        <f t="shared" si="57"/>
        <v>0.04</v>
      </c>
      <c r="O210" s="2" t="e">
        <f t="shared" si="58"/>
        <v>#VALUE!</v>
      </c>
      <c r="P210" s="10">
        <f t="shared" si="50"/>
        <v>0.64804199781316163</v>
      </c>
      <c r="Q210" s="13"/>
      <c r="R210" s="2" t="e">
        <f t="shared" si="71"/>
        <v>#VALUE!</v>
      </c>
      <c r="S210" s="2" t="e">
        <f t="shared" si="72"/>
        <v>#VALUE!</v>
      </c>
      <c r="T210" s="2" t="e">
        <f t="shared" ca="1" si="59"/>
        <v>#VALUE!</v>
      </c>
      <c r="U210" s="2" t="e">
        <f t="shared" si="73"/>
        <v>#VALUE!</v>
      </c>
      <c r="V210" s="2" t="e">
        <f t="shared" si="60"/>
        <v>#VALUE!</v>
      </c>
      <c r="W210" s="2">
        <f t="shared" si="61"/>
        <v>477.4153</v>
      </c>
      <c r="X210" s="2" t="e">
        <f t="shared" ca="1" si="62"/>
        <v>#VALUE!</v>
      </c>
      <c r="Y210" s="2" t="e">
        <f t="shared" ca="1" si="63"/>
        <v>#VALUE!</v>
      </c>
      <c r="Z210" s="10">
        <f t="shared" si="64"/>
        <v>0.5511907029034433</v>
      </c>
      <c r="AA210" s="10" t="e">
        <f t="shared" ca="1" si="51"/>
        <v>#VALUE!</v>
      </c>
      <c r="AB210" s="11" t="e">
        <f t="shared" si="65"/>
        <v>#VALUE!</v>
      </c>
      <c r="AC210" s="11" t="e">
        <f>SUM($S$31:S210)/$V$31</f>
        <v>#VALUE!</v>
      </c>
      <c r="AD210" s="11" t="e">
        <f>SUM($S$31:S210,$R$31:R210,$T$31:T210)/$V$31</f>
        <v>#VALUE!</v>
      </c>
      <c r="AE210" s="11" t="e">
        <f>SUM($M$31:M210)/$V$31</f>
        <v>#VALUE!</v>
      </c>
      <c r="AF210" s="11" t="e">
        <f ca="1">SUM(SUM($M$31:M210),-SUM($T$31:T210))/$V$31</f>
        <v>#VALUE!</v>
      </c>
      <c r="AG210">
        <f t="shared" si="52"/>
        <v>32220</v>
      </c>
    </row>
    <row r="211" spans="2:33" x14ac:dyDescent="0.15">
      <c r="B211" s="1">
        <f t="shared" si="66"/>
        <v>180</v>
      </c>
      <c r="C211" s="1">
        <f t="shared" si="53"/>
        <v>180</v>
      </c>
      <c r="D211" s="25">
        <v>3.8107774600673203E-2</v>
      </c>
      <c r="E211" s="2">
        <f t="shared" si="54"/>
        <v>64804.199781316165</v>
      </c>
      <c r="F211" s="3">
        <f t="shared" si="67"/>
        <v>0.04</v>
      </c>
      <c r="G211" s="2">
        <f t="shared" si="68"/>
        <v>477.4153</v>
      </c>
      <c r="H211" s="2">
        <f t="shared" si="69"/>
        <v>216.0139992710539</v>
      </c>
      <c r="I211" s="2">
        <f t="shared" si="70"/>
        <v>261.40130072894613</v>
      </c>
      <c r="J211" s="2">
        <f t="shared" si="55"/>
        <v>64542.798480587218</v>
      </c>
      <c r="K211" s="2" t="e">
        <f t="shared" si="74"/>
        <v>#VALUE!</v>
      </c>
      <c r="L211" s="9">
        <v>1.6821425527395739E-3</v>
      </c>
      <c r="M211" s="2" t="e">
        <f t="shared" si="56"/>
        <v>#VALUE!</v>
      </c>
      <c r="N211" s="3">
        <f t="shared" si="57"/>
        <v>0.04</v>
      </c>
      <c r="O211" s="2" t="e">
        <f t="shared" si="58"/>
        <v>#VALUE!</v>
      </c>
      <c r="P211" s="10">
        <f t="shared" si="50"/>
        <v>0.64542798480587216</v>
      </c>
      <c r="Q211" s="13"/>
      <c r="R211" s="2" t="e">
        <f t="shared" si="71"/>
        <v>#VALUE!</v>
      </c>
      <c r="S211" s="2" t="e">
        <f t="shared" si="72"/>
        <v>#VALUE!</v>
      </c>
      <c r="T211" s="2" t="e">
        <f t="shared" ca="1" si="59"/>
        <v>#VALUE!</v>
      </c>
      <c r="U211" s="2" t="e">
        <f t="shared" si="73"/>
        <v>#VALUE!</v>
      </c>
      <c r="V211" s="2" t="e">
        <f t="shared" si="60"/>
        <v>#VALUE!</v>
      </c>
      <c r="W211" s="2">
        <f t="shared" si="61"/>
        <v>477.4153</v>
      </c>
      <c r="X211" s="2" t="e">
        <f t="shared" ca="1" si="62"/>
        <v>#VALUE!</v>
      </c>
      <c r="Y211" s="2" t="e">
        <f t="shared" ca="1" si="63"/>
        <v>#VALUE!</v>
      </c>
      <c r="Z211" s="10">
        <f t="shared" si="64"/>
        <v>0.54935950455539528</v>
      </c>
      <c r="AA211" s="10" t="e">
        <f t="shared" ca="1" si="51"/>
        <v>#VALUE!</v>
      </c>
      <c r="AB211" s="11" t="e">
        <f t="shared" si="65"/>
        <v>#VALUE!</v>
      </c>
      <c r="AC211" s="11" t="e">
        <f>SUM($S$31:S211)/$V$31</f>
        <v>#VALUE!</v>
      </c>
      <c r="AD211" s="11" t="e">
        <f>SUM($S$31:S211,$R$31:R211,$T$31:T211)/$V$31</f>
        <v>#VALUE!</v>
      </c>
      <c r="AE211" s="11" t="e">
        <f>SUM($M$31:M211)/$V$31</f>
        <v>#VALUE!</v>
      </c>
      <c r="AF211" s="11" t="e">
        <f ca="1">SUM(SUM($M$31:M211),-SUM($T$31:T211))/$V$31</f>
        <v>#VALUE!</v>
      </c>
      <c r="AG211">
        <f t="shared" si="52"/>
        <v>32580</v>
      </c>
    </row>
    <row r="212" spans="2:33" x14ac:dyDescent="0.15">
      <c r="B212" s="1">
        <f t="shared" si="66"/>
        <v>181</v>
      </c>
      <c r="C212" s="1">
        <f t="shared" si="53"/>
        <v>181</v>
      </c>
      <c r="D212" s="25">
        <v>3.8047600049332102E-2</v>
      </c>
      <c r="E212" s="2">
        <f t="shared" si="54"/>
        <v>64542.798480587218</v>
      </c>
      <c r="F212" s="3">
        <f t="shared" si="67"/>
        <v>0.04</v>
      </c>
      <c r="G212" s="2">
        <f t="shared" si="68"/>
        <v>477.4153</v>
      </c>
      <c r="H212" s="2">
        <f t="shared" si="69"/>
        <v>215.1426616019574</v>
      </c>
      <c r="I212" s="2">
        <f t="shared" si="70"/>
        <v>262.2726383980426</v>
      </c>
      <c r="J212" s="2">
        <f t="shared" si="55"/>
        <v>64280.525842189178</v>
      </c>
      <c r="K212" s="2" t="e">
        <f t="shared" si="74"/>
        <v>#VALUE!</v>
      </c>
      <c r="L212" s="9">
        <v>1.6821425527395739E-3</v>
      </c>
      <c r="M212" s="2" t="e">
        <f t="shared" si="56"/>
        <v>#VALUE!</v>
      </c>
      <c r="N212" s="3">
        <f t="shared" si="57"/>
        <v>0.04</v>
      </c>
      <c r="O212" s="2" t="e">
        <f t="shared" si="58"/>
        <v>#VALUE!</v>
      </c>
      <c r="P212" s="10">
        <f t="shared" si="50"/>
        <v>0.64280525842189173</v>
      </c>
      <c r="Q212" s="13"/>
      <c r="R212" s="2" t="e">
        <f t="shared" si="71"/>
        <v>#VALUE!</v>
      </c>
      <c r="S212" s="2" t="e">
        <f t="shared" si="72"/>
        <v>#VALUE!</v>
      </c>
      <c r="T212" s="2" t="e">
        <f t="shared" ca="1" si="59"/>
        <v>#VALUE!</v>
      </c>
      <c r="U212" s="2" t="e">
        <f t="shared" si="73"/>
        <v>#VALUE!</v>
      </c>
      <c r="V212" s="2" t="e">
        <f t="shared" si="60"/>
        <v>#VALUE!</v>
      </c>
      <c r="W212" s="2">
        <f t="shared" si="61"/>
        <v>477.4153</v>
      </c>
      <c r="X212" s="2" t="e">
        <f t="shared" ca="1" si="62"/>
        <v>#VALUE!</v>
      </c>
      <c r="Y212" s="2" t="e">
        <f t="shared" ca="1" si="63"/>
        <v>#VALUE!</v>
      </c>
      <c r="Z212" s="10">
        <f t="shared" si="64"/>
        <v>0.54753438992278791</v>
      </c>
      <c r="AA212" s="10" t="e">
        <f t="shared" ca="1" si="51"/>
        <v>#VALUE!</v>
      </c>
      <c r="AB212" s="11" t="e">
        <f t="shared" si="65"/>
        <v>#VALUE!</v>
      </c>
      <c r="AC212" s="11" t="e">
        <f>SUM($S$31:S212)/$V$31</f>
        <v>#VALUE!</v>
      </c>
      <c r="AD212" s="11" t="e">
        <f>SUM($S$31:S212,$R$31:R212,$T$31:T212)/$V$31</f>
        <v>#VALUE!</v>
      </c>
      <c r="AE212" s="11" t="e">
        <f>SUM($M$31:M212)/$V$31</f>
        <v>#VALUE!</v>
      </c>
      <c r="AF212" s="11" t="e">
        <f ca="1">SUM(SUM($M$31:M212),-SUM($T$31:T212))/$V$31</f>
        <v>#VALUE!</v>
      </c>
      <c r="AG212">
        <f t="shared" si="52"/>
        <v>32942</v>
      </c>
    </row>
    <row r="213" spans="2:33" x14ac:dyDescent="0.15">
      <c r="B213" s="1">
        <f t="shared" si="66"/>
        <v>182</v>
      </c>
      <c r="C213" s="1">
        <f t="shared" si="53"/>
        <v>182</v>
      </c>
      <c r="D213" s="25">
        <v>3.7995694248077402E-2</v>
      </c>
      <c r="E213" s="2">
        <f t="shared" si="54"/>
        <v>64280.525842189178</v>
      </c>
      <c r="F213" s="3">
        <f t="shared" si="67"/>
        <v>0.04</v>
      </c>
      <c r="G213" s="2">
        <f t="shared" si="68"/>
        <v>477.4153</v>
      </c>
      <c r="H213" s="2">
        <f t="shared" si="69"/>
        <v>214.26841947396395</v>
      </c>
      <c r="I213" s="2">
        <f t="shared" si="70"/>
        <v>263.14688052603606</v>
      </c>
      <c r="J213" s="2">
        <f t="shared" si="55"/>
        <v>64017.37896166314</v>
      </c>
      <c r="K213" s="2" t="e">
        <f t="shared" si="74"/>
        <v>#VALUE!</v>
      </c>
      <c r="L213" s="9">
        <v>1.6821425527395739E-3</v>
      </c>
      <c r="M213" s="2" t="e">
        <f t="shared" si="56"/>
        <v>#VALUE!</v>
      </c>
      <c r="N213" s="3">
        <f t="shared" si="57"/>
        <v>0.04</v>
      </c>
      <c r="O213" s="2" t="e">
        <f t="shared" si="58"/>
        <v>#VALUE!</v>
      </c>
      <c r="P213" s="10">
        <f t="shared" si="50"/>
        <v>0.64017378961663141</v>
      </c>
      <c r="Q213" s="13"/>
      <c r="R213" s="2" t="e">
        <f t="shared" si="71"/>
        <v>#VALUE!</v>
      </c>
      <c r="S213" s="2" t="e">
        <f t="shared" si="72"/>
        <v>#VALUE!</v>
      </c>
      <c r="T213" s="2" t="e">
        <f t="shared" ca="1" si="59"/>
        <v>#VALUE!</v>
      </c>
      <c r="U213" s="2" t="e">
        <f t="shared" si="73"/>
        <v>#VALUE!</v>
      </c>
      <c r="V213" s="2" t="e">
        <f t="shared" si="60"/>
        <v>#VALUE!</v>
      </c>
      <c r="W213" s="2">
        <f t="shared" si="61"/>
        <v>477.4153</v>
      </c>
      <c r="X213" s="2" t="e">
        <f t="shared" ca="1" si="62"/>
        <v>#VALUE!</v>
      </c>
      <c r="Y213" s="2" t="e">
        <f t="shared" ca="1" si="63"/>
        <v>#VALUE!</v>
      </c>
      <c r="Z213" s="10">
        <f t="shared" si="64"/>
        <v>0.54571533879394163</v>
      </c>
      <c r="AA213" s="10" t="e">
        <f t="shared" ca="1" si="51"/>
        <v>#VALUE!</v>
      </c>
      <c r="AB213" s="11" t="e">
        <f t="shared" si="65"/>
        <v>#VALUE!</v>
      </c>
      <c r="AC213" s="11" t="e">
        <f>SUM($S$31:S213)/$V$31</f>
        <v>#VALUE!</v>
      </c>
      <c r="AD213" s="11" t="e">
        <f>SUM($S$31:S213,$R$31:R213,$T$31:T213)/$V$31</f>
        <v>#VALUE!</v>
      </c>
      <c r="AE213" s="11" t="e">
        <f>SUM($M$31:M213)/$V$31</f>
        <v>#VALUE!</v>
      </c>
      <c r="AF213" s="11" t="e">
        <f ca="1">SUM(SUM($M$31:M213),-SUM($T$31:T213))/$V$31</f>
        <v>#VALUE!</v>
      </c>
      <c r="AG213">
        <f t="shared" si="52"/>
        <v>33306</v>
      </c>
    </row>
    <row r="214" spans="2:33" x14ac:dyDescent="0.15">
      <c r="B214" s="1">
        <f t="shared" si="66"/>
        <v>183</v>
      </c>
      <c r="C214" s="1">
        <f t="shared" si="53"/>
        <v>183</v>
      </c>
      <c r="D214" s="25">
        <v>3.7937413785192803E-2</v>
      </c>
      <c r="E214" s="2">
        <f t="shared" si="54"/>
        <v>64017.37896166314</v>
      </c>
      <c r="F214" s="3">
        <f t="shared" si="67"/>
        <v>0.04</v>
      </c>
      <c r="G214" s="2">
        <f t="shared" si="68"/>
        <v>477.4153</v>
      </c>
      <c r="H214" s="2">
        <f t="shared" si="69"/>
        <v>213.39126320554382</v>
      </c>
      <c r="I214" s="2">
        <f t="shared" si="70"/>
        <v>264.02403679445615</v>
      </c>
      <c r="J214" s="2">
        <f t="shared" si="55"/>
        <v>63753.354924868683</v>
      </c>
      <c r="K214" s="2" t="e">
        <f t="shared" si="74"/>
        <v>#VALUE!</v>
      </c>
      <c r="L214" s="9">
        <v>1.6821425527395739E-3</v>
      </c>
      <c r="M214" s="2" t="e">
        <f t="shared" si="56"/>
        <v>#VALUE!</v>
      </c>
      <c r="N214" s="3">
        <f t="shared" si="57"/>
        <v>0.04</v>
      </c>
      <c r="O214" s="2" t="e">
        <f t="shared" si="58"/>
        <v>#VALUE!</v>
      </c>
      <c r="P214" s="10">
        <f t="shared" si="50"/>
        <v>0.63753354924868688</v>
      </c>
      <c r="Q214" s="13"/>
      <c r="R214" s="2" t="e">
        <f t="shared" si="71"/>
        <v>#VALUE!</v>
      </c>
      <c r="S214" s="2" t="e">
        <f t="shared" si="72"/>
        <v>#VALUE!</v>
      </c>
      <c r="T214" s="2" t="e">
        <f t="shared" ca="1" si="59"/>
        <v>#VALUE!</v>
      </c>
      <c r="U214" s="2" t="e">
        <f t="shared" si="73"/>
        <v>#VALUE!</v>
      </c>
      <c r="V214" s="2" t="e">
        <f t="shared" si="60"/>
        <v>#VALUE!</v>
      </c>
      <c r="W214" s="2">
        <f t="shared" si="61"/>
        <v>477.4153</v>
      </c>
      <c r="X214" s="2" t="e">
        <f t="shared" ca="1" si="62"/>
        <v>#VALUE!</v>
      </c>
      <c r="Y214" s="2" t="e">
        <f t="shared" ca="1" si="63"/>
        <v>#VALUE!</v>
      </c>
      <c r="Z214" s="10">
        <f t="shared" si="64"/>
        <v>0.54390233102432595</v>
      </c>
      <c r="AA214" s="10" t="e">
        <f t="shared" ca="1" si="51"/>
        <v>#VALUE!</v>
      </c>
      <c r="AB214" s="11" t="e">
        <f t="shared" si="65"/>
        <v>#VALUE!</v>
      </c>
      <c r="AC214" s="11" t="e">
        <f>SUM($S$31:S214)/$V$31</f>
        <v>#VALUE!</v>
      </c>
      <c r="AD214" s="11" t="e">
        <f>SUM($S$31:S214,$R$31:R214,$T$31:T214)/$V$31</f>
        <v>#VALUE!</v>
      </c>
      <c r="AE214" s="11" t="e">
        <f>SUM($M$31:M214)/$V$31</f>
        <v>#VALUE!</v>
      </c>
      <c r="AF214" s="11" t="e">
        <f ca="1">SUM(SUM($M$31:M214),-SUM($T$31:T214))/$V$31</f>
        <v>#VALUE!</v>
      </c>
      <c r="AG214">
        <f t="shared" si="52"/>
        <v>33672</v>
      </c>
    </row>
    <row r="215" spans="2:33" x14ac:dyDescent="0.15">
      <c r="B215" s="1">
        <f t="shared" si="66"/>
        <v>184</v>
      </c>
      <c r="C215" s="1">
        <f t="shared" si="53"/>
        <v>184</v>
      </c>
      <c r="D215" s="25">
        <v>3.7883822796460999E-2</v>
      </c>
      <c r="E215" s="2">
        <f t="shared" si="54"/>
        <v>63753.354924868683</v>
      </c>
      <c r="F215" s="3">
        <f t="shared" si="67"/>
        <v>0.04</v>
      </c>
      <c r="G215" s="2">
        <f t="shared" si="68"/>
        <v>477.4153</v>
      </c>
      <c r="H215" s="2">
        <f t="shared" si="69"/>
        <v>212.51118308289563</v>
      </c>
      <c r="I215" s="2">
        <f t="shared" si="70"/>
        <v>264.90411691710437</v>
      </c>
      <c r="J215" s="2">
        <f t="shared" si="55"/>
        <v>63488.45080795158</v>
      </c>
      <c r="K215" s="2" t="e">
        <f t="shared" si="74"/>
        <v>#VALUE!</v>
      </c>
      <c r="L215" s="9">
        <v>1.6821425527395739E-3</v>
      </c>
      <c r="M215" s="2" t="e">
        <f t="shared" si="56"/>
        <v>#VALUE!</v>
      </c>
      <c r="N215" s="3">
        <f t="shared" si="57"/>
        <v>0.04</v>
      </c>
      <c r="O215" s="2" t="e">
        <f t="shared" si="58"/>
        <v>#VALUE!</v>
      </c>
      <c r="P215" s="10">
        <f t="shared" si="50"/>
        <v>0.6348845080795158</v>
      </c>
      <c r="Q215" s="13"/>
      <c r="R215" s="2" t="e">
        <f t="shared" si="71"/>
        <v>#VALUE!</v>
      </c>
      <c r="S215" s="2" t="e">
        <f t="shared" si="72"/>
        <v>#VALUE!</v>
      </c>
      <c r="T215" s="2" t="e">
        <f t="shared" ca="1" si="59"/>
        <v>#VALUE!</v>
      </c>
      <c r="U215" s="2" t="e">
        <f t="shared" si="73"/>
        <v>#VALUE!</v>
      </c>
      <c r="V215" s="2" t="e">
        <f t="shared" si="60"/>
        <v>#VALUE!</v>
      </c>
      <c r="W215" s="2">
        <f t="shared" si="61"/>
        <v>477.4153</v>
      </c>
      <c r="X215" s="2" t="e">
        <f t="shared" ca="1" si="62"/>
        <v>#VALUE!</v>
      </c>
      <c r="Y215" s="2" t="e">
        <f t="shared" ca="1" si="63"/>
        <v>#VALUE!</v>
      </c>
      <c r="Z215" s="10">
        <f t="shared" si="64"/>
        <v>0.54209534653633551</v>
      </c>
      <c r="AA215" s="10" t="e">
        <f t="shared" ca="1" si="51"/>
        <v>#VALUE!</v>
      </c>
      <c r="AB215" s="11" t="e">
        <f t="shared" si="65"/>
        <v>#VALUE!</v>
      </c>
      <c r="AC215" s="11" t="e">
        <f>SUM($S$31:S215)/$V$31</f>
        <v>#VALUE!</v>
      </c>
      <c r="AD215" s="11" t="e">
        <f>SUM($S$31:S215,$R$31:R215,$T$31:T215)/$V$31</f>
        <v>#VALUE!</v>
      </c>
      <c r="AE215" s="11" t="e">
        <f>SUM($M$31:M215)/$V$31</f>
        <v>#VALUE!</v>
      </c>
      <c r="AF215" s="11" t="e">
        <f ca="1">SUM(SUM($M$31:M215),-SUM($T$31:T215))/$V$31</f>
        <v>#VALUE!</v>
      </c>
      <c r="AG215">
        <f t="shared" si="52"/>
        <v>34040</v>
      </c>
    </row>
    <row r="216" spans="2:33" x14ac:dyDescent="0.15">
      <c r="B216" s="1">
        <f t="shared" si="66"/>
        <v>185</v>
      </c>
      <c r="C216" s="1">
        <f t="shared" si="53"/>
        <v>185</v>
      </c>
      <c r="D216" s="25">
        <v>3.7826851021490998E-2</v>
      </c>
      <c r="E216" s="2">
        <f t="shared" si="54"/>
        <v>63488.45080795158</v>
      </c>
      <c r="F216" s="3">
        <f t="shared" si="67"/>
        <v>0.04</v>
      </c>
      <c r="G216" s="2">
        <f t="shared" si="68"/>
        <v>477.4153</v>
      </c>
      <c r="H216" s="2">
        <f t="shared" si="69"/>
        <v>211.62816935983861</v>
      </c>
      <c r="I216" s="2">
        <f t="shared" si="70"/>
        <v>265.78713064016142</v>
      </c>
      <c r="J216" s="2">
        <f t="shared" si="55"/>
        <v>63222.663677311415</v>
      </c>
      <c r="K216" s="2" t="e">
        <f t="shared" si="74"/>
        <v>#VALUE!</v>
      </c>
      <c r="L216" s="9">
        <v>1.6821425527395739E-3</v>
      </c>
      <c r="M216" s="2" t="e">
        <f t="shared" si="56"/>
        <v>#VALUE!</v>
      </c>
      <c r="N216" s="3">
        <f t="shared" si="57"/>
        <v>0.04</v>
      </c>
      <c r="O216" s="2" t="e">
        <f t="shared" si="58"/>
        <v>#VALUE!</v>
      </c>
      <c r="P216" s="10">
        <f t="shared" si="50"/>
        <v>0.63222663677311419</v>
      </c>
      <c r="Q216" s="13"/>
      <c r="R216" s="2" t="e">
        <f t="shared" si="71"/>
        <v>#VALUE!</v>
      </c>
      <c r="S216" s="2" t="e">
        <f t="shared" si="72"/>
        <v>#VALUE!</v>
      </c>
      <c r="T216" s="2" t="e">
        <f t="shared" ca="1" si="59"/>
        <v>#VALUE!</v>
      </c>
      <c r="U216" s="2" t="e">
        <f t="shared" si="73"/>
        <v>#VALUE!</v>
      </c>
      <c r="V216" s="2" t="e">
        <f t="shared" si="60"/>
        <v>#VALUE!</v>
      </c>
      <c r="W216" s="2">
        <f t="shared" si="61"/>
        <v>477.4153</v>
      </c>
      <c r="X216" s="2" t="e">
        <f t="shared" ca="1" si="62"/>
        <v>#VALUE!</v>
      </c>
      <c r="Y216" s="2" t="e">
        <f t="shared" ca="1" si="63"/>
        <v>#VALUE!</v>
      </c>
      <c r="Z216" s="10">
        <f t="shared" si="64"/>
        <v>0.54029436531906749</v>
      </c>
      <c r="AA216" s="10" t="e">
        <f t="shared" ca="1" si="51"/>
        <v>#VALUE!</v>
      </c>
      <c r="AB216" s="11" t="e">
        <f t="shared" si="65"/>
        <v>#VALUE!</v>
      </c>
      <c r="AC216" s="11" t="e">
        <f>SUM($S$31:S216)/$V$31</f>
        <v>#VALUE!</v>
      </c>
      <c r="AD216" s="11" t="e">
        <f>SUM($S$31:S216,$R$31:R216,$T$31:T216)/$V$31</f>
        <v>#VALUE!</v>
      </c>
      <c r="AE216" s="11" t="e">
        <f>SUM($M$31:M216)/$V$31</f>
        <v>#VALUE!</v>
      </c>
      <c r="AF216" s="11" t="e">
        <f ca="1">SUM(SUM($M$31:M216),-SUM($T$31:T216))/$V$31</f>
        <v>#VALUE!</v>
      </c>
      <c r="AG216">
        <f t="shared" si="52"/>
        <v>34410</v>
      </c>
    </row>
    <row r="217" spans="2:33" x14ac:dyDescent="0.15">
      <c r="B217" s="1">
        <f t="shared" si="66"/>
        <v>186</v>
      </c>
      <c r="C217" s="1">
        <f t="shared" si="53"/>
        <v>186</v>
      </c>
      <c r="D217" s="25">
        <v>3.7774545342510499E-2</v>
      </c>
      <c r="E217" s="2">
        <f t="shared" si="54"/>
        <v>63222.663677311415</v>
      </c>
      <c r="F217" s="3">
        <f t="shared" si="67"/>
        <v>0.04</v>
      </c>
      <c r="G217" s="2">
        <f t="shared" si="68"/>
        <v>477.4153</v>
      </c>
      <c r="H217" s="2">
        <f t="shared" si="69"/>
        <v>210.74221225770472</v>
      </c>
      <c r="I217" s="2">
        <f t="shared" si="70"/>
        <v>266.67308774229525</v>
      </c>
      <c r="J217" s="2">
        <f t="shared" si="55"/>
        <v>62955.990589569119</v>
      </c>
      <c r="K217" s="2" t="e">
        <f t="shared" si="74"/>
        <v>#VALUE!</v>
      </c>
      <c r="L217" s="9">
        <v>1.6821425527395739E-3</v>
      </c>
      <c r="M217" s="2" t="e">
        <f t="shared" si="56"/>
        <v>#VALUE!</v>
      </c>
      <c r="N217" s="3">
        <f t="shared" si="57"/>
        <v>0.04</v>
      </c>
      <c r="O217" s="2" t="e">
        <f t="shared" si="58"/>
        <v>#VALUE!</v>
      </c>
      <c r="P217" s="10">
        <f t="shared" si="50"/>
        <v>0.62955990589569122</v>
      </c>
      <c r="Q217" s="13"/>
      <c r="R217" s="2" t="e">
        <f t="shared" si="71"/>
        <v>#VALUE!</v>
      </c>
      <c r="S217" s="2" t="e">
        <f t="shared" si="72"/>
        <v>#VALUE!</v>
      </c>
      <c r="T217" s="2" t="e">
        <f t="shared" ca="1" si="59"/>
        <v>#VALUE!</v>
      </c>
      <c r="U217" s="2" t="e">
        <f t="shared" si="73"/>
        <v>#VALUE!</v>
      </c>
      <c r="V217" s="2" t="e">
        <f t="shared" si="60"/>
        <v>#VALUE!</v>
      </c>
      <c r="W217" s="2">
        <f t="shared" si="61"/>
        <v>477.4153</v>
      </c>
      <c r="X217" s="2" t="e">
        <f t="shared" ca="1" si="62"/>
        <v>#VALUE!</v>
      </c>
      <c r="Y217" s="2" t="e">
        <f t="shared" ca="1" si="63"/>
        <v>#VALUE!</v>
      </c>
      <c r="Z217" s="10">
        <f t="shared" si="64"/>
        <v>0.53849936742810123</v>
      </c>
      <c r="AA217" s="10" t="e">
        <f t="shared" ca="1" si="51"/>
        <v>#VALUE!</v>
      </c>
      <c r="AB217" s="11" t="e">
        <f t="shared" si="65"/>
        <v>#VALUE!</v>
      </c>
      <c r="AC217" s="11" t="e">
        <f>SUM($S$31:S217)/$V$31</f>
        <v>#VALUE!</v>
      </c>
      <c r="AD217" s="11" t="e">
        <f>SUM($S$31:S217,$R$31:R217,$T$31:T217)/$V$31</f>
        <v>#VALUE!</v>
      </c>
      <c r="AE217" s="11" t="e">
        <f>SUM($M$31:M217)/$V$31</f>
        <v>#VALUE!</v>
      </c>
      <c r="AF217" s="11" t="e">
        <f ca="1">SUM(SUM($M$31:M217),-SUM($T$31:T217))/$V$31</f>
        <v>#VALUE!</v>
      </c>
      <c r="AG217">
        <f t="shared" si="52"/>
        <v>34782</v>
      </c>
    </row>
    <row r="218" spans="2:33" x14ac:dyDescent="0.15">
      <c r="B218" s="1">
        <f t="shared" si="66"/>
        <v>187</v>
      </c>
      <c r="C218" s="1">
        <f t="shared" si="53"/>
        <v>187</v>
      </c>
      <c r="D218" s="25">
        <v>3.7720004973797398E-2</v>
      </c>
      <c r="E218" s="2">
        <f t="shared" si="54"/>
        <v>62955.990589569119</v>
      </c>
      <c r="F218" s="3">
        <f t="shared" si="67"/>
        <v>0.04</v>
      </c>
      <c r="G218" s="2">
        <f t="shared" si="68"/>
        <v>477.4153</v>
      </c>
      <c r="H218" s="2">
        <f t="shared" si="69"/>
        <v>209.8533019652304</v>
      </c>
      <c r="I218" s="2">
        <f t="shared" si="70"/>
        <v>267.5619980347696</v>
      </c>
      <c r="J218" s="2">
        <f t="shared" si="55"/>
        <v>62688.42859153435</v>
      </c>
      <c r="K218" s="2" t="e">
        <f t="shared" si="74"/>
        <v>#VALUE!</v>
      </c>
      <c r="L218" s="9">
        <v>1.6821425527395739E-3</v>
      </c>
      <c r="M218" s="2" t="e">
        <f t="shared" si="56"/>
        <v>#VALUE!</v>
      </c>
      <c r="N218" s="3">
        <f t="shared" si="57"/>
        <v>0.04</v>
      </c>
      <c r="O218" s="2" t="e">
        <f t="shared" si="58"/>
        <v>#VALUE!</v>
      </c>
      <c r="P218" s="10">
        <f t="shared" si="50"/>
        <v>0.62688428591534351</v>
      </c>
      <c r="Q218" s="13"/>
      <c r="R218" s="2" t="e">
        <f t="shared" si="71"/>
        <v>#VALUE!</v>
      </c>
      <c r="S218" s="2" t="e">
        <f t="shared" si="72"/>
        <v>#VALUE!</v>
      </c>
      <c r="T218" s="2" t="e">
        <f t="shared" ca="1" si="59"/>
        <v>#VALUE!</v>
      </c>
      <c r="U218" s="2" t="e">
        <f t="shared" si="73"/>
        <v>#VALUE!</v>
      </c>
      <c r="V218" s="2" t="e">
        <f t="shared" si="60"/>
        <v>#VALUE!</v>
      </c>
      <c r="W218" s="2">
        <f t="shared" si="61"/>
        <v>477.4153</v>
      </c>
      <c r="X218" s="2" t="e">
        <f t="shared" ca="1" si="62"/>
        <v>#VALUE!</v>
      </c>
      <c r="Y218" s="2" t="e">
        <f t="shared" ca="1" si="63"/>
        <v>#VALUE!</v>
      </c>
      <c r="Z218" s="10">
        <f t="shared" si="64"/>
        <v>0.53671033298527626</v>
      </c>
      <c r="AA218" s="10" t="e">
        <f t="shared" ca="1" si="51"/>
        <v>#VALUE!</v>
      </c>
      <c r="AB218" s="11" t="e">
        <f t="shared" si="65"/>
        <v>#VALUE!</v>
      </c>
      <c r="AC218" s="11" t="e">
        <f>SUM($S$31:S218)/$V$31</f>
        <v>#VALUE!</v>
      </c>
      <c r="AD218" s="11" t="e">
        <f>SUM($S$31:S218,$R$31:R218,$T$31:T218)/$V$31</f>
        <v>#VALUE!</v>
      </c>
      <c r="AE218" s="11" t="e">
        <f>SUM($M$31:M218)/$V$31</f>
        <v>#VALUE!</v>
      </c>
      <c r="AF218" s="11" t="e">
        <f ca="1">SUM(SUM($M$31:M218),-SUM($T$31:T218))/$V$31</f>
        <v>#VALUE!</v>
      </c>
      <c r="AG218">
        <f t="shared" si="52"/>
        <v>35156</v>
      </c>
    </row>
    <row r="219" spans="2:33" x14ac:dyDescent="0.15">
      <c r="B219" s="1">
        <f t="shared" si="66"/>
        <v>188</v>
      </c>
      <c r="C219" s="1">
        <f t="shared" si="53"/>
        <v>188</v>
      </c>
      <c r="D219" s="25">
        <v>3.76650063092226E-2</v>
      </c>
      <c r="E219" s="2">
        <f t="shared" si="54"/>
        <v>62688.42859153435</v>
      </c>
      <c r="F219" s="3">
        <f t="shared" si="67"/>
        <v>0.04</v>
      </c>
      <c r="G219" s="2">
        <f t="shared" si="68"/>
        <v>477.4153</v>
      </c>
      <c r="H219" s="2">
        <f t="shared" si="69"/>
        <v>208.96142863844784</v>
      </c>
      <c r="I219" s="2">
        <f t="shared" si="70"/>
        <v>268.45387136155216</v>
      </c>
      <c r="J219" s="2">
        <f t="shared" si="55"/>
        <v>62419.974720172795</v>
      </c>
      <c r="K219" s="2" t="e">
        <f t="shared" si="74"/>
        <v>#VALUE!</v>
      </c>
      <c r="L219" s="9">
        <v>1.6821425527395739E-3</v>
      </c>
      <c r="M219" s="2" t="e">
        <f t="shared" si="56"/>
        <v>#VALUE!</v>
      </c>
      <c r="N219" s="3">
        <f t="shared" si="57"/>
        <v>0.04</v>
      </c>
      <c r="O219" s="2" t="e">
        <f t="shared" si="58"/>
        <v>#VALUE!</v>
      </c>
      <c r="P219" s="10">
        <f t="shared" si="50"/>
        <v>0.62419974720172799</v>
      </c>
      <c r="Q219" s="13"/>
      <c r="R219" s="2" t="e">
        <f t="shared" si="71"/>
        <v>#VALUE!</v>
      </c>
      <c r="S219" s="2" t="e">
        <f t="shared" si="72"/>
        <v>#VALUE!</v>
      </c>
      <c r="T219" s="2" t="e">
        <f t="shared" ca="1" si="59"/>
        <v>#VALUE!</v>
      </c>
      <c r="U219" s="2" t="e">
        <f t="shared" si="73"/>
        <v>#VALUE!</v>
      </c>
      <c r="V219" s="2" t="e">
        <f t="shared" si="60"/>
        <v>#VALUE!</v>
      </c>
      <c r="W219" s="2">
        <f t="shared" si="61"/>
        <v>477.4153</v>
      </c>
      <c r="X219" s="2" t="e">
        <f t="shared" ca="1" si="62"/>
        <v>#VALUE!</v>
      </c>
      <c r="Y219" s="2" t="e">
        <f t="shared" ca="1" si="63"/>
        <v>#VALUE!</v>
      </c>
      <c r="Z219" s="10">
        <f t="shared" si="64"/>
        <v>0.53492724217847254</v>
      </c>
      <c r="AA219" s="10" t="e">
        <f t="shared" ca="1" si="51"/>
        <v>#VALUE!</v>
      </c>
      <c r="AB219" s="11" t="e">
        <f t="shared" si="65"/>
        <v>#VALUE!</v>
      </c>
      <c r="AC219" s="11" t="e">
        <f>SUM($S$31:S219)/$V$31</f>
        <v>#VALUE!</v>
      </c>
      <c r="AD219" s="11" t="e">
        <f>SUM($S$31:S219,$R$31:R219,$T$31:T219)/$V$31</f>
        <v>#VALUE!</v>
      </c>
      <c r="AE219" s="11" t="e">
        <f>SUM($M$31:M219)/$V$31</f>
        <v>#VALUE!</v>
      </c>
      <c r="AF219" s="11" t="e">
        <f ca="1">SUM(SUM($M$31:M219),-SUM($T$31:T219))/$V$31</f>
        <v>#VALUE!</v>
      </c>
      <c r="AG219">
        <f t="shared" si="52"/>
        <v>35532</v>
      </c>
    </row>
    <row r="220" spans="2:33" x14ac:dyDescent="0.15">
      <c r="B220" s="1">
        <f t="shared" si="66"/>
        <v>189</v>
      </c>
      <c r="C220" s="1">
        <f t="shared" si="53"/>
        <v>189</v>
      </c>
      <c r="D220" s="25">
        <v>3.76146396411631E-2</v>
      </c>
      <c r="E220" s="2">
        <f t="shared" si="54"/>
        <v>62419.974720172795</v>
      </c>
      <c r="F220" s="3">
        <f t="shared" si="67"/>
        <v>0.04</v>
      </c>
      <c r="G220" s="2">
        <f t="shared" si="68"/>
        <v>477.4153</v>
      </c>
      <c r="H220" s="2">
        <f t="shared" si="69"/>
        <v>208.06658240057601</v>
      </c>
      <c r="I220" s="2">
        <f t="shared" si="70"/>
        <v>269.34871759942399</v>
      </c>
      <c r="J220" s="2">
        <f t="shared" si="55"/>
        <v>62150.626002573372</v>
      </c>
      <c r="K220" s="2" t="e">
        <f t="shared" si="74"/>
        <v>#VALUE!</v>
      </c>
      <c r="L220" s="9">
        <v>1.6821425527395739E-3</v>
      </c>
      <c r="M220" s="2" t="e">
        <f t="shared" si="56"/>
        <v>#VALUE!</v>
      </c>
      <c r="N220" s="3">
        <f t="shared" si="57"/>
        <v>0.04</v>
      </c>
      <c r="O220" s="2" t="e">
        <f t="shared" si="58"/>
        <v>#VALUE!</v>
      </c>
      <c r="P220" s="10">
        <f t="shared" si="50"/>
        <v>0.62150626002573373</v>
      </c>
      <c r="Q220" s="13"/>
      <c r="R220" s="2" t="e">
        <f t="shared" si="71"/>
        <v>#VALUE!</v>
      </c>
      <c r="S220" s="2" t="e">
        <f t="shared" si="72"/>
        <v>#VALUE!</v>
      </c>
      <c r="T220" s="2" t="e">
        <f t="shared" ca="1" si="59"/>
        <v>#VALUE!</v>
      </c>
      <c r="U220" s="2" t="e">
        <f t="shared" si="73"/>
        <v>#VALUE!</v>
      </c>
      <c r="V220" s="2" t="e">
        <f t="shared" si="60"/>
        <v>#VALUE!</v>
      </c>
      <c r="W220" s="2">
        <f t="shared" si="61"/>
        <v>477.4153</v>
      </c>
      <c r="X220" s="2" t="e">
        <f t="shared" ca="1" si="62"/>
        <v>#VALUE!</v>
      </c>
      <c r="Y220" s="2" t="e">
        <f t="shared" ca="1" si="63"/>
        <v>#VALUE!</v>
      </c>
      <c r="Z220" s="10">
        <f t="shared" si="64"/>
        <v>0.53315007526139069</v>
      </c>
      <c r="AA220" s="10" t="e">
        <f t="shared" ca="1" si="51"/>
        <v>#VALUE!</v>
      </c>
      <c r="AB220" s="11" t="e">
        <f t="shared" si="65"/>
        <v>#VALUE!</v>
      </c>
      <c r="AC220" s="11" t="e">
        <f>SUM($S$31:S220)/$V$31</f>
        <v>#VALUE!</v>
      </c>
      <c r="AD220" s="11" t="e">
        <f>SUM($S$31:S220,$R$31:R220,$T$31:T220)/$V$31</f>
        <v>#VALUE!</v>
      </c>
      <c r="AE220" s="11" t="e">
        <f>SUM($M$31:M220)/$V$31</f>
        <v>#VALUE!</v>
      </c>
      <c r="AF220" s="11" t="e">
        <f ca="1">SUM(SUM($M$31:M220),-SUM($T$31:T220))/$V$31</f>
        <v>#VALUE!</v>
      </c>
      <c r="AG220">
        <f t="shared" si="52"/>
        <v>35910</v>
      </c>
    </row>
    <row r="221" spans="2:33" x14ac:dyDescent="0.15">
      <c r="B221" s="1">
        <f t="shared" si="66"/>
        <v>190</v>
      </c>
      <c r="C221" s="1">
        <f t="shared" si="53"/>
        <v>190</v>
      </c>
      <c r="D221" s="25">
        <v>3.7560948809313099E-2</v>
      </c>
      <c r="E221" s="2">
        <f t="shared" si="54"/>
        <v>62150.626002573372</v>
      </c>
      <c r="F221" s="3">
        <f t="shared" si="67"/>
        <v>0.04</v>
      </c>
      <c r="G221" s="2">
        <f t="shared" si="68"/>
        <v>477.4153</v>
      </c>
      <c r="H221" s="2">
        <f t="shared" si="69"/>
        <v>207.16875334191124</v>
      </c>
      <c r="I221" s="2">
        <f t="shared" si="70"/>
        <v>270.24654665808873</v>
      </c>
      <c r="J221" s="2">
        <f t="shared" si="55"/>
        <v>61880.379455915281</v>
      </c>
      <c r="K221" s="2" t="e">
        <f t="shared" si="74"/>
        <v>#VALUE!</v>
      </c>
      <c r="L221" s="9">
        <v>1.6821425527395739E-3</v>
      </c>
      <c r="M221" s="2" t="e">
        <f t="shared" si="56"/>
        <v>#VALUE!</v>
      </c>
      <c r="N221" s="3">
        <f t="shared" si="57"/>
        <v>0.04</v>
      </c>
      <c r="O221" s="2" t="e">
        <f t="shared" si="58"/>
        <v>#VALUE!</v>
      </c>
      <c r="P221" s="10">
        <f t="shared" si="50"/>
        <v>0.6188037945591528</v>
      </c>
      <c r="Q221" s="13"/>
      <c r="R221" s="2" t="e">
        <f t="shared" si="71"/>
        <v>#VALUE!</v>
      </c>
      <c r="S221" s="2" t="e">
        <f t="shared" si="72"/>
        <v>#VALUE!</v>
      </c>
      <c r="T221" s="2" t="e">
        <f t="shared" ca="1" si="59"/>
        <v>#VALUE!</v>
      </c>
      <c r="U221" s="2" t="e">
        <f t="shared" si="73"/>
        <v>#VALUE!</v>
      </c>
      <c r="V221" s="2" t="e">
        <f t="shared" si="60"/>
        <v>#VALUE!</v>
      </c>
      <c r="W221" s="2">
        <f t="shared" si="61"/>
        <v>477.4153</v>
      </c>
      <c r="X221" s="2" t="e">
        <f t="shared" ca="1" si="62"/>
        <v>#VALUE!</v>
      </c>
      <c r="Y221" s="2" t="e">
        <f t="shared" ca="1" si="63"/>
        <v>#VALUE!</v>
      </c>
      <c r="Z221" s="10">
        <f t="shared" si="64"/>
        <v>0.53137881255333419</v>
      </c>
      <c r="AA221" s="10" t="e">
        <f t="shared" ca="1" si="51"/>
        <v>#VALUE!</v>
      </c>
      <c r="AB221" s="11" t="e">
        <f t="shared" si="65"/>
        <v>#VALUE!</v>
      </c>
      <c r="AC221" s="11" t="e">
        <f>SUM($S$31:S221)/$V$31</f>
        <v>#VALUE!</v>
      </c>
      <c r="AD221" s="11" t="e">
        <f>SUM($S$31:S221,$R$31:R221,$T$31:T221)/$V$31</f>
        <v>#VALUE!</v>
      </c>
      <c r="AE221" s="11" t="e">
        <f>SUM($M$31:M221)/$V$31</f>
        <v>#VALUE!</v>
      </c>
      <c r="AF221" s="11" t="e">
        <f ca="1">SUM(SUM($M$31:M221),-SUM($T$31:T221))/$V$31</f>
        <v>#VALUE!</v>
      </c>
      <c r="AG221">
        <f t="shared" si="52"/>
        <v>36290</v>
      </c>
    </row>
    <row r="222" spans="2:33" x14ac:dyDescent="0.15">
      <c r="B222" s="1">
        <f t="shared" si="66"/>
        <v>191</v>
      </c>
      <c r="C222" s="1">
        <f t="shared" si="53"/>
        <v>191</v>
      </c>
      <c r="D222" s="25">
        <v>3.7511868126454996E-2</v>
      </c>
      <c r="E222" s="2">
        <f t="shared" si="54"/>
        <v>61880.379455915281</v>
      </c>
      <c r="F222" s="3">
        <f t="shared" si="67"/>
        <v>0.04</v>
      </c>
      <c r="G222" s="2">
        <f t="shared" si="68"/>
        <v>477.4153</v>
      </c>
      <c r="H222" s="2">
        <f t="shared" si="69"/>
        <v>206.26793151971762</v>
      </c>
      <c r="I222" s="2">
        <f t="shared" si="70"/>
        <v>271.14736848028235</v>
      </c>
      <c r="J222" s="2">
        <f t="shared" si="55"/>
        <v>61609.232087434997</v>
      </c>
      <c r="K222" s="2" t="e">
        <f t="shared" si="74"/>
        <v>#VALUE!</v>
      </c>
      <c r="L222" s="9">
        <v>1.6821425527395739E-3</v>
      </c>
      <c r="M222" s="2" t="e">
        <f t="shared" si="56"/>
        <v>#VALUE!</v>
      </c>
      <c r="N222" s="3">
        <f t="shared" si="57"/>
        <v>0.04</v>
      </c>
      <c r="O222" s="2" t="e">
        <f t="shared" si="58"/>
        <v>#VALUE!</v>
      </c>
      <c r="P222" s="10">
        <f t="shared" si="50"/>
        <v>0.61609232087434995</v>
      </c>
      <c r="Q222" s="13"/>
      <c r="R222" s="2" t="e">
        <f t="shared" si="71"/>
        <v>#VALUE!</v>
      </c>
      <c r="S222" s="2" t="e">
        <f t="shared" si="72"/>
        <v>#VALUE!</v>
      </c>
      <c r="T222" s="2" t="e">
        <f t="shared" ca="1" si="59"/>
        <v>#VALUE!</v>
      </c>
      <c r="U222" s="2" t="e">
        <f t="shared" si="73"/>
        <v>#VALUE!</v>
      </c>
      <c r="V222" s="2" t="e">
        <f t="shared" si="60"/>
        <v>#VALUE!</v>
      </c>
      <c r="W222" s="2">
        <f t="shared" si="61"/>
        <v>477.4153</v>
      </c>
      <c r="X222" s="2" t="e">
        <f t="shared" ca="1" si="62"/>
        <v>#VALUE!</v>
      </c>
      <c r="Y222" s="2" t="e">
        <f t="shared" ca="1" si="63"/>
        <v>#VALUE!</v>
      </c>
      <c r="Z222" s="10">
        <f t="shared" si="64"/>
        <v>0.52961343443899089</v>
      </c>
      <c r="AA222" s="10" t="e">
        <f t="shared" ca="1" si="51"/>
        <v>#VALUE!</v>
      </c>
      <c r="AB222" s="11" t="e">
        <f t="shared" si="65"/>
        <v>#VALUE!</v>
      </c>
      <c r="AC222" s="11" t="e">
        <f>SUM($S$31:S222)/$V$31</f>
        <v>#VALUE!</v>
      </c>
      <c r="AD222" s="11" t="e">
        <f>SUM($S$31:S222,$R$31:R222,$T$31:T222)/$V$31</f>
        <v>#VALUE!</v>
      </c>
      <c r="AE222" s="11" t="e">
        <f>SUM($M$31:M222)/$V$31</f>
        <v>#VALUE!</v>
      </c>
      <c r="AF222" s="11" t="e">
        <f ca="1">SUM(SUM($M$31:M222),-SUM($T$31:T222))/$V$31</f>
        <v>#VALUE!</v>
      </c>
      <c r="AG222">
        <f t="shared" si="52"/>
        <v>36672</v>
      </c>
    </row>
    <row r="223" spans="2:33" x14ac:dyDescent="0.15">
      <c r="B223" s="1">
        <f t="shared" si="66"/>
        <v>192</v>
      </c>
      <c r="C223" s="1">
        <f t="shared" si="53"/>
        <v>192</v>
      </c>
      <c r="D223" s="25">
        <v>3.7460633987238298E-2</v>
      </c>
      <c r="E223" s="2">
        <f t="shared" si="54"/>
        <v>61609.232087434997</v>
      </c>
      <c r="F223" s="3">
        <f t="shared" si="67"/>
        <v>0.04</v>
      </c>
      <c r="G223" s="2">
        <f t="shared" si="68"/>
        <v>477.4153</v>
      </c>
      <c r="H223" s="2">
        <f t="shared" si="69"/>
        <v>205.36410695811668</v>
      </c>
      <c r="I223" s="2">
        <f t="shared" si="70"/>
        <v>272.05119304188332</v>
      </c>
      <c r="J223" s="2">
        <f t="shared" si="55"/>
        <v>61337.180894393117</v>
      </c>
      <c r="K223" s="2" t="e">
        <f t="shared" si="74"/>
        <v>#VALUE!</v>
      </c>
      <c r="L223" s="9">
        <v>1.6821425527395739E-3</v>
      </c>
      <c r="M223" s="2" t="e">
        <f t="shared" si="56"/>
        <v>#VALUE!</v>
      </c>
      <c r="N223" s="3">
        <f t="shared" si="57"/>
        <v>0.04</v>
      </c>
      <c r="O223" s="2" t="e">
        <f t="shared" si="58"/>
        <v>#VALUE!</v>
      </c>
      <c r="P223" s="10">
        <f t="shared" ref="P223:P286" si="75">J223/$J$31</f>
        <v>0.61337180894393117</v>
      </c>
      <c r="Q223" s="13"/>
      <c r="R223" s="2" t="e">
        <f t="shared" si="71"/>
        <v>#VALUE!</v>
      </c>
      <c r="S223" s="2" t="e">
        <f t="shared" si="72"/>
        <v>#VALUE!</v>
      </c>
      <c r="T223" s="2" t="e">
        <f t="shared" ca="1" si="59"/>
        <v>#VALUE!</v>
      </c>
      <c r="U223" s="2" t="e">
        <f t="shared" si="73"/>
        <v>#VALUE!</v>
      </c>
      <c r="V223" s="2" t="e">
        <f t="shared" si="60"/>
        <v>#VALUE!</v>
      </c>
      <c r="W223" s="2">
        <f t="shared" si="61"/>
        <v>477.4153</v>
      </c>
      <c r="X223" s="2" t="e">
        <f t="shared" ca="1" si="62"/>
        <v>#VALUE!</v>
      </c>
      <c r="Y223" s="2" t="e">
        <f t="shared" ca="1" si="63"/>
        <v>#VALUE!</v>
      </c>
      <c r="Z223" s="10">
        <f t="shared" si="64"/>
        <v>0.52785392136821507</v>
      </c>
      <c r="AA223" s="10" t="e">
        <f t="shared" ref="AA223:AA286" ca="1" si="76">1/((1+$Y$4/12)^B223)</f>
        <v>#VALUE!</v>
      </c>
      <c r="AB223" s="11" t="e">
        <f t="shared" si="65"/>
        <v>#VALUE!</v>
      </c>
      <c r="AC223" s="11" t="e">
        <f>SUM($S$31:S223)/$V$31</f>
        <v>#VALUE!</v>
      </c>
      <c r="AD223" s="11" t="e">
        <f>SUM($S$31:S223,$R$31:R223,$T$31:T223)/$V$31</f>
        <v>#VALUE!</v>
      </c>
      <c r="AE223" s="11" t="e">
        <f>SUM($M$31:M223)/$V$31</f>
        <v>#VALUE!</v>
      </c>
      <c r="AF223" s="11" t="e">
        <f ca="1">SUM(SUM($M$31:M223),-SUM($T$31:T223))/$V$31</f>
        <v>#VALUE!</v>
      </c>
      <c r="AG223">
        <f t="shared" ref="AG223:AG286" si="77">B223^2+B223</f>
        <v>37056</v>
      </c>
    </row>
    <row r="224" spans="2:33" x14ac:dyDescent="0.15">
      <c r="B224" s="1">
        <f t="shared" si="66"/>
        <v>193</v>
      </c>
      <c r="C224" s="1">
        <f t="shared" ref="C224:C287" si="78">B224+($E$4-$F$4)</f>
        <v>193</v>
      </c>
      <c r="D224" s="25">
        <v>3.7406606151265301E-2</v>
      </c>
      <c r="E224" s="2">
        <f t="shared" ref="E224:E287" si="79">J223</f>
        <v>61337.180894393117</v>
      </c>
      <c r="F224" s="3">
        <f t="shared" si="67"/>
        <v>0.04</v>
      </c>
      <c r="G224" s="2">
        <f t="shared" si="68"/>
        <v>477.4153</v>
      </c>
      <c r="H224" s="2">
        <f t="shared" si="69"/>
        <v>204.45726964797706</v>
      </c>
      <c r="I224" s="2">
        <f t="shared" si="70"/>
        <v>272.95803035202294</v>
      </c>
      <c r="J224" s="2">
        <f t="shared" ref="J224:J287" si="80">E224-I224</f>
        <v>61064.222864041098</v>
      </c>
      <c r="K224" s="2" t="e">
        <f t="shared" si="74"/>
        <v>#VALUE!</v>
      </c>
      <c r="L224" s="9">
        <v>1.6821425527395739E-3</v>
      </c>
      <c r="M224" s="2" t="e">
        <f t="shared" ref="M224:M287" si="81">L224*K224</f>
        <v>#VALUE!</v>
      </c>
      <c r="N224" s="3">
        <f t="shared" ref="N224:N287" si="82">F224</f>
        <v>0.04</v>
      </c>
      <c r="O224" s="2" t="e">
        <f t="shared" ref="O224:O287" si="83">(K224-M224)*N224/12</f>
        <v>#VALUE!</v>
      </c>
      <c r="P224" s="10">
        <f t="shared" si="75"/>
        <v>0.61064222864041096</v>
      </c>
      <c r="Q224" s="13"/>
      <c r="R224" s="2" t="e">
        <f t="shared" si="71"/>
        <v>#VALUE!</v>
      </c>
      <c r="S224" s="2" t="e">
        <f t="shared" si="72"/>
        <v>#VALUE!</v>
      </c>
      <c r="T224" s="2" t="e">
        <f t="shared" ref="T224:T287" ca="1" si="84">IF(B224&gt;=$S$4,OFFSET(M224,-$S$4,0)*$R$4,0)</f>
        <v>#VALUE!</v>
      </c>
      <c r="U224" s="2" t="e">
        <f t="shared" si="73"/>
        <v>#VALUE!</v>
      </c>
      <c r="V224" s="2" t="e">
        <f t="shared" ref="V224:V287" si="85">K224-M224-R224-S224</f>
        <v>#VALUE!</v>
      </c>
      <c r="W224" s="2">
        <f t="shared" ref="W224:W287" si="86">H224+I224</f>
        <v>477.4153</v>
      </c>
      <c r="X224" s="2" t="e">
        <f t="shared" ref="X224:X287" ca="1" si="87">S224+T224</f>
        <v>#VALUE!</v>
      </c>
      <c r="Y224" s="2" t="e">
        <f t="shared" ref="Y224:Y287" ca="1" si="88">O224+R224+S224+T224</f>
        <v>#VALUE!</v>
      </c>
      <c r="Z224" s="10">
        <f t="shared" ref="Z224:Z287" si="89">1/((1+$X$4/12)^B224)</f>
        <v>0.52610025385581261</v>
      </c>
      <c r="AA224" s="10" t="e">
        <f t="shared" ca="1" si="76"/>
        <v>#VALUE!</v>
      </c>
      <c r="AB224" s="11" t="e">
        <f t="shared" ref="AB224:AB287" si="90">V224/$V$31</f>
        <v>#VALUE!</v>
      </c>
      <c r="AC224" s="11" t="e">
        <f>SUM($S$31:S224)/$V$31</f>
        <v>#VALUE!</v>
      </c>
      <c r="AD224" s="11" t="e">
        <f>SUM($S$31:S224,$R$31:R224,$T$31:T224)/$V$31</f>
        <v>#VALUE!</v>
      </c>
      <c r="AE224" s="11" t="e">
        <f>SUM($M$31:M224)/$V$31</f>
        <v>#VALUE!</v>
      </c>
      <c r="AF224" s="11" t="e">
        <f ca="1">SUM(SUM($M$31:M224),-SUM($T$31:T224))/$V$31</f>
        <v>#VALUE!</v>
      </c>
      <c r="AG224">
        <f t="shared" si="77"/>
        <v>37442</v>
      </c>
    </row>
    <row r="225" spans="2:33" x14ac:dyDescent="0.15">
      <c r="B225" s="1">
        <f t="shared" ref="B225:B288" si="91">B224+1</f>
        <v>194</v>
      </c>
      <c r="C225" s="1">
        <f t="shared" si="78"/>
        <v>194</v>
      </c>
      <c r="D225" s="25">
        <v>3.7364974506049003E-2</v>
      </c>
      <c r="E225" s="2">
        <f t="shared" si="79"/>
        <v>61064.222864041098</v>
      </c>
      <c r="F225" s="3">
        <f t="shared" ref="F225:F288" si="92">MIN(MAX(IF($G$4="Fixed",0,D225)+$H$4,F224-$J$4,$M$4),F224+$K$4,$L$4)</f>
        <v>0.04</v>
      </c>
      <c r="G225" s="2">
        <f t="shared" ref="G225:G288" si="93">IF(C225&lt;=$E$4,MIN(ROUND((E225*(F225/12)*(1+F225/12)^($E$4-C224))/((1+F225/12)^($E$4-C224)-1),4),E225+H225),0)</f>
        <v>477.4153</v>
      </c>
      <c r="H225" s="2">
        <f t="shared" ref="H225:H288" si="94">F225/12*E225</f>
        <v>203.54740954680366</v>
      </c>
      <c r="I225" s="2">
        <f t="shared" ref="I225:I288" si="95">G225-H225</f>
        <v>273.86789045319631</v>
      </c>
      <c r="J225" s="2">
        <f t="shared" si="80"/>
        <v>60790.354973587899</v>
      </c>
      <c r="K225" s="2" t="e">
        <f t="shared" si="74"/>
        <v>#VALUE!</v>
      </c>
      <c r="L225" s="9">
        <v>1.6821425527395739E-3</v>
      </c>
      <c r="M225" s="2" t="e">
        <f t="shared" si="81"/>
        <v>#VALUE!</v>
      </c>
      <c r="N225" s="3">
        <f t="shared" si="82"/>
        <v>0.04</v>
      </c>
      <c r="O225" s="2" t="e">
        <f t="shared" si="83"/>
        <v>#VALUE!</v>
      </c>
      <c r="P225" s="10">
        <f t="shared" si="75"/>
        <v>0.60790354973587901</v>
      </c>
      <c r="Q225" s="13"/>
      <c r="R225" s="2" t="e">
        <f t="shared" ref="R225:R288" si="96">IF(C225&lt;=$E$4,(K225-M225)*P225/P224*Q225,0)</f>
        <v>#VALUE!</v>
      </c>
      <c r="S225" s="2" t="e">
        <f t="shared" ref="S225:S288" si="97">IF(C225&lt;=$E$4,(K225-M225)*(1-P225/P224),0)</f>
        <v>#VALUE!</v>
      </c>
      <c r="T225" s="2" t="e">
        <f t="shared" ca="1" si="84"/>
        <v>#VALUE!</v>
      </c>
      <c r="U225" s="2" t="e">
        <f t="shared" ref="U225:U288" si="98">R225+S225</f>
        <v>#VALUE!</v>
      </c>
      <c r="V225" s="2" t="e">
        <f t="shared" si="85"/>
        <v>#VALUE!</v>
      </c>
      <c r="W225" s="2">
        <f t="shared" si="86"/>
        <v>477.4153</v>
      </c>
      <c r="X225" s="2" t="e">
        <f t="shared" ca="1" si="87"/>
        <v>#VALUE!</v>
      </c>
      <c r="Y225" s="2" t="e">
        <f t="shared" ca="1" si="88"/>
        <v>#VALUE!</v>
      </c>
      <c r="Z225" s="10">
        <f t="shared" si="89"/>
        <v>0.52435241248132347</v>
      </c>
      <c r="AA225" s="10" t="e">
        <f t="shared" ca="1" si="76"/>
        <v>#VALUE!</v>
      </c>
      <c r="AB225" s="11" t="e">
        <f t="shared" si="90"/>
        <v>#VALUE!</v>
      </c>
      <c r="AC225" s="11" t="e">
        <f>SUM($S$31:S225)/$V$31</f>
        <v>#VALUE!</v>
      </c>
      <c r="AD225" s="11" t="e">
        <f>SUM($S$31:S225,$R$31:R225,$T$31:T225)/$V$31</f>
        <v>#VALUE!</v>
      </c>
      <c r="AE225" s="11" t="e">
        <f>SUM($M$31:M225)/$V$31</f>
        <v>#VALUE!</v>
      </c>
      <c r="AF225" s="11" t="e">
        <f ca="1">SUM(SUM($M$31:M225),-SUM($T$31:T225))/$V$31</f>
        <v>#VALUE!</v>
      </c>
      <c r="AG225">
        <f t="shared" si="77"/>
        <v>37830</v>
      </c>
    </row>
    <row r="226" spans="2:33" x14ac:dyDescent="0.15">
      <c r="B226" s="1">
        <f t="shared" si="91"/>
        <v>195</v>
      </c>
      <c r="C226" s="1">
        <f t="shared" si="78"/>
        <v>195</v>
      </c>
      <c r="D226" s="25">
        <v>3.7314519659707404E-2</v>
      </c>
      <c r="E226" s="2">
        <f t="shared" si="79"/>
        <v>60790.354973587899</v>
      </c>
      <c r="F226" s="3">
        <f t="shared" si="92"/>
        <v>0.04</v>
      </c>
      <c r="G226" s="2">
        <f t="shared" si="93"/>
        <v>477.4153</v>
      </c>
      <c r="H226" s="2">
        <f t="shared" si="94"/>
        <v>202.63451657862635</v>
      </c>
      <c r="I226" s="2">
        <f t="shared" si="95"/>
        <v>274.78078342137366</v>
      </c>
      <c r="J226" s="2">
        <f t="shared" si="80"/>
        <v>60515.574190166524</v>
      </c>
      <c r="K226" s="2" t="e">
        <f t="shared" ref="K226:K289" si="99">V225</f>
        <v>#VALUE!</v>
      </c>
      <c r="L226" s="9">
        <v>1.6821425527395739E-3</v>
      </c>
      <c r="M226" s="2" t="e">
        <f t="shared" si="81"/>
        <v>#VALUE!</v>
      </c>
      <c r="N226" s="3">
        <f t="shared" si="82"/>
        <v>0.04</v>
      </c>
      <c r="O226" s="2" t="e">
        <f t="shared" si="83"/>
        <v>#VALUE!</v>
      </c>
      <c r="P226" s="10">
        <f t="shared" si="75"/>
        <v>0.60515574190166521</v>
      </c>
      <c r="Q226" s="13"/>
      <c r="R226" s="2" t="e">
        <f t="shared" si="96"/>
        <v>#VALUE!</v>
      </c>
      <c r="S226" s="2" t="e">
        <f t="shared" si="97"/>
        <v>#VALUE!</v>
      </c>
      <c r="T226" s="2" t="e">
        <f t="shared" ca="1" si="84"/>
        <v>#VALUE!</v>
      </c>
      <c r="U226" s="2" t="e">
        <f t="shared" si="98"/>
        <v>#VALUE!</v>
      </c>
      <c r="V226" s="2" t="e">
        <f t="shared" si="85"/>
        <v>#VALUE!</v>
      </c>
      <c r="W226" s="2">
        <f t="shared" si="86"/>
        <v>477.4153</v>
      </c>
      <c r="X226" s="2" t="e">
        <f t="shared" ca="1" si="87"/>
        <v>#VALUE!</v>
      </c>
      <c r="Y226" s="2" t="e">
        <f t="shared" ca="1" si="88"/>
        <v>#VALUE!</v>
      </c>
      <c r="Z226" s="10">
        <f t="shared" si="89"/>
        <v>0.52261037788880804</v>
      </c>
      <c r="AA226" s="10" t="e">
        <f t="shared" ca="1" si="76"/>
        <v>#VALUE!</v>
      </c>
      <c r="AB226" s="11" t="e">
        <f t="shared" si="90"/>
        <v>#VALUE!</v>
      </c>
      <c r="AC226" s="11" t="e">
        <f>SUM($S$31:S226)/$V$31</f>
        <v>#VALUE!</v>
      </c>
      <c r="AD226" s="11" t="e">
        <f>SUM($S$31:S226,$R$31:R226,$T$31:T226)/$V$31</f>
        <v>#VALUE!</v>
      </c>
      <c r="AE226" s="11" t="e">
        <f>SUM($M$31:M226)/$V$31</f>
        <v>#VALUE!</v>
      </c>
      <c r="AF226" s="11" t="e">
        <f ca="1">SUM(SUM($M$31:M226),-SUM($T$31:T226))/$V$31</f>
        <v>#VALUE!</v>
      </c>
      <c r="AG226">
        <f t="shared" si="77"/>
        <v>38220</v>
      </c>
    </row>
    <row r="227" spans="2:33" x14ac:dyDescent="0.15">
      <c r="B227" s="1">
        <f t="shared" si="91"/>
        <v>196</v>
      </c>
      <c r="C227" s="1">
        <f t="shared" si="78"/>
        <v>196</v>
      </c>
      <c r="D227" s="25">
        <v>3.7268623462219E-2</v>
      </c>
      <c r="E227" s="2">
        <f t="shared" si="79"/>
        <v>60515.574190166524</v>
      </c>
      <c r="F227" s="3">
        <f t="shared" si="92"/>
        <v>0.04</v>
      </c>
      <c r="G227" s="2">
        <f t="shared" si="93"/>
        <v>477.4153</v>
      </c>
      <c r="H227" s="2">
        <f t="shared" si="94"/>
        <v>201.71858063388842</v>
      </c>
      <c r="I227" s="2">
        <f t="shared" si="95"/>
        <v>275.69671936611155</v>
      </c>
      <c r="J227" s="2">
        <f t="shared" si="80"/>
        <v>60239.877470800413</v>
      </c>
      <c r="K227" s="2" t="e">
        <f t="shared" si="99"/>
        <v>#VALUE!</v>
      </c>
      <c r="L227" s="9">
        <v>1.6821425527395739E-3</v>
      </c>
      <c r="M227" s="2" t="e">
        <f t="shared" si="81"/>
        <v>#VALUE!</v>
      </c>
      <c r="N227" s="3">
        <f t="shared" si="82"/>
        <v>0.04</v>
      </c>
      <c r="O227" s="2" t="e">
        <f t="shared" si="83"/>
        <v>#VALUE!</v>
      </c>
      <c r="P227" s="10">
        <f t="shared" si="75"/>
        <v>0.60239877470800418</v>
      </c>
      <c r="Q227" s="13"/>
      <c r="R227" s="2" t="e">
        <f t="shared" si="96"/>
        <v>#VALUE!</v>
      </c>
      <c r="S227" s="2" t="e">
        <f t="shared" si="97"/>
        <v>#VALUE!</v>
      </c>
      <c r="T227" s="2" t="e">
        <f t="shared" ca="1" si="84"/>
        <v>#VALUE!</v>
      </c>
      <c r="U227" s="2" t="e">
        <f t="shared" si="98"/>
        <v>#VALUE!</v>
      </c>
      <c r="V227" s="2" t="e">
        <f t="shared" si="85"/>
        <v>#VALUE!</v>
      </c>
      <c r="W227" s="2">
        <f t="shared" si="86"/>
        <v>477.4153</v>
      </c>
      <c r="X227" s="2" t="e">
        <f t="shared" ca="1" si="87"/>
        <v>#VALUE!</v>
      </c>
      <c r="Y227" s="2" t="e">
        <f t="shared" ca="1" si="88"/>
        <v>#VALUE!</v>
      </c>
      <c r="Z227" s="10">
        <f t="shared" si="89"/>
        <v>0.52087413078663169</v>
      </c>
      <c r="AA227" s="10" t="e">
        <f t="shared" ca="1" si="76"/>
        <v>#VALUE!</v>
      </c>
      <c r="AB227" s="11" t="e">
        <f t="shared" si="90"/>
        <v>#VALUE!</v>
      </c>
      <c r="AC227" s="11" t="e">
        <f>SUM($S$31:S227)/$V$31</f>
        <v>#VALUE!</v>
      </c>
      <c r="AD227" s="11" t="e">
        <f>SUM($S$31:S227,$R$31:R227,$T$31:T227)/$V$31</f>
        <v>#VALUE!</v>
      </c>
      <c r="AE227" s="11" t="e">
        <f>SUM($M$31:M227)/$V$31</f>
        <v>#VALUE!</v>
      </c>
      <c r="AF227" s="11" t="e">
        <f ca="1">SUM(SUM($M$31:M227),-SUM($T$31:T227))/$V$31</f>
        <v>#VALUE!</v>
      </c>
      <c r="AG227">
        <f t="shared" si="77"/>
        <v>38612</v>
      </c>
    </row>
    <row r="228" spans="2:33" x14ac:dyDescent="0.15">
      <c r="B228" s="1">
        <f t="shared" si="91"/>
        <v>197</v>
      </c>
      <c r="C228" s="1">
        <f t="shared" si="78"/>
        <v>197</v>
      </c>
      <c r="D228" s="25">
        <v>3.7219475295827802E-2</v>
      </c>
      <c r="E228" s="2">
        <f t="shared" si="79"/>
        <v>60239.877470800413</v>
      </c>
      <c r="F228" s="3">
        <f t="shared" si="92"/>
        <v>0.04</v>
      </c>
      <c r="G228" s="2">
        <f t="shared" si="93"/>
        <v>477.4153</v>
      </c>
      <c r="H228" s="2">
        <f t="shared" si="94"/>
        <v>200.79959156933472</v>
      </c>
      <c r="I228" s="2">
        <f t="shared" si="95"/>
        <v>276.61570843066528</v>
      </c>
      <c r="J228" s="2">
        <f t="shared" si="80"/>
        <v>59963.261762369744</v>
      </c>
      <c r="K228" s="2" t="e">
        <f t="shared" si="99"/>
        <v>#VALUE!</v>
      </c>
      <c r="L228" s="9">
        <v>1.6821425527395739E-3</v>
      </c>
      <c r="M228" s="2" t="e">
        <f t="shared" si="81"/>
        <v>#VALUE!</v>
      </c>
      <c r="N228" s="3">
        <f t="shared" si="82"/>
        <v>0.04</v>
      </c>
      <c r="O228" s="2" t="e">
        <f t="shared" si="83"/>
        <v>#VALUE!</v>
      </c>
      <c r="P228" s="10">
        <f t="shared" si="75"/>
        <v>0.59963261762369746</v>
      </c>
      <c r="Q228" s="13"/>
      <c r="R228" s="2" t="e">
        <f t="shared" si="96"/>
        <v>#VALUE!</v>
      </c>
      <c r="S228" s="2" t="e">
        <f t="shared" si="97"/>
        <v>#VALUE!</v>
      </c>
      <c r="T228" s="2" t="e">
        <f t="shared" ca="1" si="84"/>
        <v>#VALUE!</v>
      </c>
      <c r="U228" s="2" t="e">
        <f t="shared" si="98"/>
        <v>#VALUE!</v>
      </c>
      <c r="V228" s="2" t="e">
        <f t="shared" si="85"/>
        <v>#VALUE!</v>
      </c>
      <c r="W228" s="2">
        <f t="shared" si="86"/>
        <v>477.4153</v>
      </c>
      <c r="X228" s="2" t="e">
        <f t="shared" ca="1" si="87"/>
        <v>#VALUE!</v>
      </c>
      <c r="Y228" s="2" t="e">
        <f t="shared" ca="1" si="88"/>
        <v>#VALUE!</v>
      </c>
      <c r="Z228" s="10">
        <f t="shared" si="89"/>
        <v>0.51914365194725176</v>
      </c>
      <c r="AA228" s="10" t="e">
        <f t="shared" ca="1" si="76"/>
        <v>#VALUE!</v>
      </c>
      <c r="AB228" s="11" t="e">
        <f t="shared" si="90"/>
        <v>#VALUE!</v>
      </c>
      <c r="AC228" s="11" t="e">
        <f>SUM($S$31:S228)/$V$31</f>
        <v>#VALUE!</v>
      </c>
      <c r="AD228" s="11" t="e">
        <f>SUM($S$31:S228,$R$31:R228,$T$31:T228)/$V$31</f>
        <v>#VALUE!</v>
      </c>
      <c r="AE228" s="11" t="e">
        <f>SUM($M$31:M228)/$V$31</f>
        <v>#VALUE!</v>
      </c>
      <c r="AF228" s="11" t="e">
        <f ca="1">SUM(SUM($M$31:M228),-SUM($T$31:T228))/$V$31</f>
        <v>#VALUE!</v>
      </c>
      <c r="AG228">
        <f t="shared" si="77"/>
        <v>39006</v>
      </c>
    </row>
    <row r="229" spans="2:33" x14ac:dyDescent="0.15">
      <c r="B229" s="1">
        <f t="shared" si="91"/>
        <v>198</v>
      </c>
      <c r="C229" s="1">
        <f t="shared" si="78"/>
        <v>198</v>
      </c>
      <c r="D229" s="25">
        <v>3.7174866005269099E-2</v>
      </c>
      <c r="E229" s="2">
        <f t="shared" si="79"/>
        <v>59963.261762369744</v>
      </c>
      <c r="F229" s="3">
        <f t="shared" si="92"/>
        <v>0.04</v>
      </c>
      <c r="G229" s="2">
        <f t="shared" si="93"/>
        <v>477.4153</v>
      </c>
      <c r="H229" s="2">
        <f t="shared" si="94"/>
        <v>199.87753920789916</v>
      </c>
      <c r="I229" s="2">
        <f t="shared" si="95"/>
        <v>277.53776079210081</v>
      </c>
      <c r="J229" s="2">
        <f t="shared" si="80"/>
        <v>59685.724001577641</v>
      </c>
      <c r="K229" s="2" t="e">
        <f t="shared" si="99"/>
        <v>#VALUE!</v>
      </c>
      <c r="L229" s="9">
        <v>1.6821425527395739E-3</v>
      </c>
      <c r="M229" s="2" t="e">
        <f t="shared" si="81"/>
        <v>#VALUE!</v>
      </c>
      <c r="N229" s="3">
        <f t="shared" si="82"/>
        <v>0.04</v>
      </c>
      <c r="O229" s="2" t="e">
        <f t="shared" si="83"/>
        <v>#VALUE!</v>
      </c>
      <c r="P229" s="10">
        <f t="shared" si="75"/>
        <v>0.59685724001577645</v>
      </c>
      <c r="Q229" s="13"/>
      <c r="R229" s="2" t="e">
        <f t="shared" si="96"/>
        <v>#VALUE!</v>
      </c>
      <c r="S229" s="2" t="e">
        <f t="shared" si="97"/>
        <v>#VALUE!</v>
      </c>
      <c r="T229" s="2" t="e">
        <f t="shared" ca="1" si="84"/>
        <v>#VALUE!</v>
      </c>
      <c r="U229" s="2" t="e">
        <f t="shared" si="98"/>
        <v>#VALUE!</v>
      </c>
      <c r="V229" s="2" t="e">
        <f t="shared" si="85"/>
        <v>#VALUE!</v>
      </c>
      <c r="W229" s="2">
        <f t="shared" si="86"/>
        <v>477.4153</v>
      </c>
      <c r="X229" s="2" t="e">
        <f t="shared" ca="1" si="87"/>
        <v>#VALUE!</v>
      </c>
      <c r="Y229" s="2" t="e">
        <f t="shared" ca="1" si="88"/>
        <v>#VALUE!</v>
      </c>
      <c r="Z229" s="10">
        <f t="shared" si="89"/>
        <v>0.51741892220700436</v>
      </c>
      <c r="AA229" s="10" t="e">
        <f t="shared" ca="1" si="76"/>
        <v>#VALUE!</v>
      </c>
      <c r="AB229" s="11" t="e">
        <f t="shared" si="90"/>
        <v>#VALUE!</v>
      </c>
      <c r="AC229" s="11" t="e">
        <f>SUM($S$31:S229)/$V$31</f>
        <v>#VALUE!</v>
      </c>
      <c r="AD229" s="11" t="e">
        <f>SUM($S$31:S229,$R$31:R229,$T$31:T229)/$V$31</f>
        <v>#VALUE!</v>
      </c>
      <c r="AE229" s="11" t="e">
        <f>SUM($M$31:M229)/$V$31</f>
        <v>#VALUE!</v>
      </c>
      <c r="AF229" s="11" t="e">
        <f ca="1">SUM(SUM($M$31:M229),-SUM($T$31:T229))/$V$31</f>
        <v>#VALUE!</v>
      </c>
      <c r="AG229">
        <f t="shared" si="77"/>
        <v>39402</v>
      </c>
    </row>
    <row r="230" spans="2:33" x14ac:dyDescent="0.15">
      <c r="B230" s="1">
        <f t="shared" si="91"/>
        <v>199</v>
      </c>
      <c r="C230" s="1">
        <f t="shared" si="78"/>
        <v>199</v>
      </c>
      <c r="D230" s="25">
        <v>3.7128212694034303E-2</v>
      </c>
      <c r="E230" s="2">
        <f t="shared" si="79"/>
        <v>59685.724001577641</v>
      </c>
      <c r="F230" s="3">
        <f t="shared" si="92"/>
        <v>0.04</v>
      </c>
      <c r="G230" s="2">
        <f t="shared" si="93"/>
        <v>477.4153</v>
      </c>
      <c r="H230" s="2">
        <f t="shared" si="94"/>
        <v>198.95241333859215</v>
      </c>
      <c r="I230" s="2">
        <f t="shared" si="95"/>
        <v>278.46288666140788</v>
      </c>
      <c r="J230" s="2">
        <f t="shared" si="80"/>
        <v>59407.261114916233</v>
      </c>
      <c r="K230" s="2" t="e">
        <f t="shared" si="99"/>
        <v>#VALUE!</v>
      </c>
      <c r="L230" s="9">
        <v>1.6821425527395739E-3</v>
      </c>
      <c r="M230" s="2" t="e">
        <f t="shared" si="81"/>
        <v>#VALUE!</v>
      </c>
      <c r="N230" s="3">
        <f t="shared" si="82"/>
        <v>0.04</v>
      </c>
      <c r="O230" s="2" t="e">
        <f t="shared" si="83"/>
        <v>#VALUE!</v>
      </c>
      <c r="P230" s="10">
        <f t="shared" si="75"/>
        <v>0.59407261114916232</v>
      </c>
      <c r="Q230" s="13"/>
      <c r="R230" s="2" t="e">
        <f t="shared" si="96"/>
        <v>#VALUE!</v>
      </c>
      <c r="S230" s="2" t="e">
        <f t="shared" si="97"/>
        <v>#VALUE!</v>
      </c>
      <c r="T230" s="2" t="e">
        <f t="shared" ca="1" si="84"/>
        <v>#VALUE!</v>
      </c>
      <c r="U230" s="2" t="e">
        <f t="shared" si="98"/>
        <v>#VALUE!</v>
      </c>
      <c r="V230" s="2" t="e">
        <f t="shared" si="85"/>
        <v>#VALUE!</v>
      </c>
      <c r="W230" s="2">
        <f t="shared" si="86"/>
        <v>477.4153</v>
      </c>
      <c r="X230" s="2" t="e">
        <f t="shared" ca="1" si="87"/>
        <v>#VALUE!</v>
      </c>
      <c r="Y230" s="2" t="e">
        <f t="shared" ca="1" si="88"/>
        <v>#VALUE!</v>
      </c>
      <c r="Z230" s="10">
        <f t="shared" si="89"/>
        <v>0.51569992246589269</v>
      </c>
      <c r="AA230" s="10" t="e">
        <f t="shared" ca="1" si="76"/>
        <v>#VALUE!</v>
      </c>
      <c r="AB230" s="11" t="e">
        <f t="shared" si="90"/>
        <v>#VALUE!</v>
      </c>
      <c r="AC230" s="11" t="e">
        <f>SUM($S$31:S230)/$V$31</f>
        <v>#VALUE!</v>
      </c>
      <c r="AD230" s="11" t="e">
        <f>SUM($S$31:S230,$R$31:R230,$T$31:T230)/$V$31</f>
        <v>#VALUE!</v>
      </c>
      <c r="AE230" s="11" t="e">
        <f>SUM($M$31:M230)/$V$31</f>
        <v>#VALUE!</v>
      </c>
      <c r="AF230" s="11" t="e">
        <f ca="1">SUM(SUM($M$31:M230),-SUM($T$31:T230))/$V$31</f>
        <v>#VALUE!</v>
      </c>
      <c r="AG230">
        <f t="shared" si="77"/>
        <v>39800</v>
      </c>
    </row>
    <row r="231" spans="2:33" x14ac:dyDescent="0.15">
      <c r="B231" s="1">
        <f t="shared" si="91"/>
        <v>200</v>
      </c>
      <c r="C231" s="1">
        <f t="shared" si="78"/>
        <v>200</v>
      </c>
      <c r="D231" s="25">
        <v>3.7081034644162597E-2</v>
      </c>
      <c r="E231" s="2">
        <f t="shared" si="79"/>
        <v>59407.261114916233</v>
      </c>
      <c r="F231" s="3">
        <f t="shared" si="92"/>
        <v>0.04</v>
      </c>
      <c r="G231" s="2">
        <f t="shared" si="93"/>
        <v>477.4153</v>
      </c>
      <c r="H231" s="2">
        <f t="shared" si="94"/>
        <v>198.02420371638746</v>
      </c>
      <c r="I231" s="2">
        <f t="shared" si="95"/>
        <v>279.39109628361257</v>
      </c>
      <c r="J231" s="2">
        <f t="shared" si="80"/>
        <v>59127.870018632617</v>
      </c>
      <c r="K231" s="2" t="e">
        <f t="shared" si="99"/>
        <v>#VALUE!</v>
      </c>
      <c r="L231" s="9">
        <v>1.6821425527395739E-3</v>
      </c>
      <c r="M231" s="2" t="e">
        <f t="shared" si="81"/>
        <v>#VALUE!</v>
      </c>
      <c r="N231" s="3">
        <f t="shared" si="82"/>
        <v>0.04</v>
      </c>
      <c r="O231" s="2" t="e">
        <f t="shared" si="83"/>
        <v>#VALUE!</v>
      </c>
      <c r="P231" s="10">
        <f t="shared" si="75"/>
        <v>0.59127870018632622</v>
      </c>
      <c r="Q231" s="13"/>
      <c r="R231" s="2" t="e">
        <f t="shared" si="96"/>
        <v>#VALUE!</v>
      </c>
      <c r="S231" s="2" t="e">
        <f t="shared" si="97"/>
        <v>#VALUE!</v>
      </c>
      <c r="T231" s="2" t="e">
        <f t="shared" ca="1" si="84"/>
        <v>#VALUE!</v>
      </c>
      <c r="U231" s="2" t="e">
        <f t="shared" si="98"/>
        <v>#VALUE!</v>
      </c>
      <c r="V231" s="2" t="e">
        <f t="shared" si="85"/>
        <v>#VALUE!</v>
      </c>
      <c r="W231" s="2">
        <f t="shared" si="86"/>
        <v>477.4153</v>
      </c>
      <c r="X231" s="2" t="e">
        <f t="shared" ca="1" si="87"/>
        <v>#VALUE!</v>
      </c>
      <c r="Y231" s="2" t="e">
        <f t="shared" ca="1" si="88"/>
        <v>#VALUE!</v>
      </c>
      <c r="Z231" s="10">
        <f t="shared" si="89"/>
        <v>0.51398663368737463</v>
      </c>
      <c r="AA231" s="10" t="e">
        <f t="shared" ca="1" si="76"/>
        <v>#VALUE!</v>
      </c>
      <c r="AB231" s="11" t="e">
        <f t="shared" si="90"/>
        <v>#VALUE!</v>
      </c>
      <c r="AC231" s="11" t="e">
        <f>SUM($S$31:S231)/$V$31</f>
        <v>#VALUE!</v>
      </c>
      <c r="AD231" s="11" t="e">
        <f>SUM($S$31:S231,$R$31:R231,$T$31:T231)/$V$31</f>
        <v>#VALUE!</v>
      </c>
      <c r="AE231" s="11" t="e">
        <f>SUM($M$31:M231)/$V$31</f>
        <v>#VALUE!</v>
      </c>
      <c r="AF231" s="11" t="e">
        <f ca="1">SUM(SUM($M$31:M231),-SUM($T$31:T231))/$V$31</f>
        <v>#VALUE!</v>
      </c>
      <c r="AG231">
        <f t="shared" si="77"/>
        <v>40200</v>
      </c>
    </row>
    <row r="232" spans="2:33" x14ac:dyDescent="0.15">
      <c r="B232" s="1">
        <f t="shared" si="91"/>
        <v>201</v>
      </c>
      <c r="C232" s="1">
        <f t="shared" si="78"/>
        <v>201</v>
      </c>
      <c r="D232" s="25">
        <v>3.7038366758455704E-2</v>
      </c>
      <c r="E232" s="2">
        <f t="shared" si="79"/>
        <v>59127.870018632617</v>
      </c>
      <c r="F232" s="3">
        <f t="shared" si="92"/>
        <v>0.04</v>
      </c>
      <c r="G232" s="2">
        <f t="shared" si="93"/>
        <v>477.4153</v>
      </c>
      <c r="H232" s="2">
        <f t="shared" si="94"/>
        <v>197.09290006210873</v>
      </c>
      <c r="I232" s="2">
        <f t="shared" si="95"/>
        <v>280.3223999378913</v>
      </c>
      <c r="J232" s="2">
        <f t="shared" si="80"/>
        <v>58847.547618694727</v>
      </c>
      <c r="K232" s="2" t="e">
        <f t="shared" si="99"/>
        <v>#VALUE!</v>
      </c>
      <c r="L232" s="9">
        <v>1.6821425527395739E-3</v>
      </c>
      <c r="M232" s="2" t="e">
        <f t="shared" si="81"/>
        <v>#VALUE!</v>
      </c>
      <c r="N232" s="3">
        <f t="shared" si="82"/>
        <v>0.04</v>
      </c>
      <c r="O232" s="2" t="e">
        <f t="shared" si="83"/>
        <v>#VALUE!</v>
      </c>
      <c r="P232" s="10">
        <f t="shared" si="75"/>
        <v>0.58847547618694729</v>
      </c>
      <c r="Q232" s="13"/>
      <c r="R232" s="2" t="e">
        <f t="shared" si="96"/>
        <v>#VALUE!</v>
      </c>
      <c r="S232" s="2" t="e">
        <f t="shared" si="97"/>
        <v>#VALUE!</v>
      </c>
      <c r="T232" s="2" t="e">
        <f t="shared" ca="1" si="84"/>
        <v>#VALUE!</v>
      </c>
      <c r="U232" s="2" t="e">
        <f t="shared" si="98"/>
        <v>#VALUE!</v>
      </c>
      <c r="V232" s="2" t="e">
        <f t="shared" si="85"/>
        <v>#VALUE!</v>
      </c>
      <c r="W232" s="2">
        <f t="shared" si="86"/>
        <v>477.4153</v>
      </c>
      <c r="X232" s="2" t="e">
        <f t="shared" ca="1" si="87"/>
        <v>#VALUE!</v>
      </c>
      <c r="Y232" s="2" t="e">
        <f t="shared" ca="1" si="88"/>
        <v>#VALUE!</v>
      </c>
      <c r="Z232" s="10">
        <f t="shared" si="89"/>
        <v>0.51227903689815235</v>
      </c>
      <c r="AA232" s="10" t="e">
        <f t="shared" ca="1" si="76"/>
        <v>#VALUE!</v>
      </c>
      <c r="AB232" s="11" t="e">
        <f t="shared" si="90"/>
        <v>#VALUE!</v>
      </c>
      <c r="AC232" s="11" t="e">
        <f>SUM($S$31:S232)/$V$31</f>
        <v>#VALUE!</v>
      </c>
      <c r="AD232" s="11" t="e">
        <f>SUM($S$31:S232,$R$31:R232,$T$31:T232)/$V$31</f>
        <v>#VALUE!</v>
      </c>
      <c r="AE232" s="11" t="e">
        <f>SUM($M$31:M232)/$V$31</f>
        <v>#VALUE!</v>
      </c>
      <c r="AF232" s="11" t="e">
        <f ca="1">SUM(SUM($M$31:M232),-SUM($T$31:T232))/$V$31</f>
        <v>#VALUE!</v>
      </c>
      <c r="AG232">
        <f t="shared" si="77"/>
        <v>40602</v>
      </c>
    </row>
    <row r="233" spans="2:33" x14ac:dyDescent="0.15">
      <c r="B233" s="1">
        <f t="shared" si="91"/>
        <v>202</v>
      </c>
      <c r="C233" s="1">
        <f t="shared" si="78"/>
        <v>202</v>
      </c>
      <c r="D233" s="25">
        <v>3.69924945786302E-2</v>
      </c>
      <c r="E233" s="2">
        <f t="shared" si="79"/>
        <v>58847.547618694727</v>
      </c>
      <c r="F233" s="3">
        <f t="shared" si="92"/>
        <v>0.04</v>
      </c>
      <c r="G233" s="2">
        <f t="shared" si="93"/>
        <v>477.4153</v>
      </c>
      <c r="H233" s="2">
        <f t="shared" si="94"/>
        <v>196.15849206231576</v>
      </c>
      <c r="I233" s="2">
        <f t="shared" si="95"/>
        <v>281.25680793768424</v>
      </c>
      <c r="J233" s="2">
        <f t="shared" si="80"/>
        <v>58566.29081075704</v>
      </c>
      <c r="K233" s="2" t="e">
        <f t="shared" si="99"/>
        <v>#VALUE!</v>
      </c>
      <c r="L233" s="9">
        <v>1.6821425527395739E-3</v>
      </c>
      <c r="M233" s="2" t="e">
        <f t="shared" si="81"/>
        <v>#VALUE!</v>
      </c>
      <c r="N233" s="3">
        <f t="shared" si="82"/>
        <v>0.04</v>
      </c>
      <c r="O233" s="2" t="e">
        <f t="shared" si="83"/>
        <v>#VALUE!</v>
      </c>
      <c r="P233" s="10">
        <f t="shared" si="75"/>
        <v>0.58566290810757038</v>
      </c>
      <c r="Q233" s="13"/>
      <c r="R233" s="2" t="e">
        <f t="shared" si="96"/>
        <v>#VALUE!</v>
      </c>
      <c r="S233" s="2" t="e">
        <f t="shared" si="97"/>
        <v>#VALUE!</v>
      </c>
      <c r="T233" s="2" t="e">
        <f t="shared" ca="1" si="84"/>
        <v>#VALUE!</v>
      </c>
      <c r="U233" s="2" t="e">
        <f t="shared" si="98"/>
        <v>#VALUE!</v>
      </c>
      <c r="V233" s="2" t="e">
        <f t="shared" si="85"/>
        <v>#VALUE!</v>
      </c>
      <c r="W233" s="2">
        <f t="shared" si="86"/>
        <v>477.4153</v>
      </c>
      <c r="X233" s="2" t="e">
        <f t="shared" ca="1" si="87"/>
        <v>#VALUE!</v>
      </c>
      <c r="Y233" s="2" t="e">
        <f t="shared" ca="1" si="88"/>
        <v>#VALUE!</v>
      </c>
      <c r="Z233" s="10">
        <f t="shared" si="89"/>
        <v>0.51057711318796273</v>
      </c>
      <c r="AA233" s="10" t="e">
        <f t="shared" ca="1" si="76"/>
        <v>#VALUE!</v>
      </c>
      <c r="AB233" s="11" t="e">
        <f t="shared" si="90"/>
        <v>#VALUE!</v>
      </c>
      <c r="AC233" s="11" t="e">
        <f>SUM($S$31:S233)/$V$31</f>
        <v>#VALUE!</v>
      </c>
      <c r="AD233" s="11" t="e">
        <f>SUM($S$31:S233,$R$31:R233,$T$31:T233)/$V$31</f>
        <v>#VALUE!</v>
      </c>
      <c r="AE233" s="11" t="e">
        <f>SUM($M$31:M233)/$V$31</f>
        <v>#VALUE!</v>
      </c>
      <c r="AF233" s="11" t="e">
        <f ca="1">SUM(SUM($M$31:M233),-SUM($T$31:T233))/$V$31</f>
        <v>#VALUE!</v>
      </c>
      <c r="AG233">
        <f t="shared" si="77"/>
        <v>41006</v>
      </c>
    </row>
    <row r="234" spans="2:33" x14ac:dyDescent="0.15">
      <c r="B234" s="1">
        <f t="shared" si="91"/>
        <v>203</v>
      </c>
      <c r="C234" s="1">
        <f t="shared" si="78"/>
        <v>203</v>
      </c>
      <c r="D234" s="25">
        <v>3.69511142560075E-2</v>
      </c>
      <c r="E234" s="2">
        <f t="shared" si="79"/>
        <v>58566.29081075704</v>
      </c>
      <c r="F234" s="3">
        <f t="shared" si="92"/>
        <v>0.04</v>
      </c>
      <c r="G234" s="2">
        <f t="shared" si="93"/>
        <v>477.4153</v>
      </c>
      <c r="H234" s="2">
        <f t="shared" si="94"/>
        <v>195.22096936919016</v>
      </c>
      <c r="I234" s="2">
        <f t="shared" si="95"/>
        <v>282.19433063080987</v>
      </c>
      <c r="J234" s="2">
        <f t="shared" si="80"/>
        <v>58284.096480126231</v>
      </c>
      <c r="K234" s="2" t="e">
        <f t="shared" si="99"/>
        <v>#VALUE!</v>
      </c>
      <c r="L234" s="9">
        <v>1.6821425527395739E-3</v>
      </c>
      <c r="M234" s="2" t="e">
        <f t="shared" si="81"/>
        <v>#VALUE!</v>
      </c>
      <c r="N234" s="3">
        <f t="shared" si="82"/>
        <v>0.04</v>
      </c>
      <c r="O234" s="2" t="e">
        <f t="shared" si="83"/>
        <v>#VALUE!</v>
      </c>
      <c r="P234" s="10">
        <f t="shared" si="75"/>
        <v>0.58284096480126235</v>
      </c>
      <c r="Q234" s="13"/>
      <c r="R234" s="2" t="e">
        <f t="shared" si="96"/>
        <v>#VALUE!</v>
      </c>
      <c r="S234" s="2" t="e">
        <f t="shared" si="97"/>
        <v>#VALUE!</v>
      </c>
      <c r="T234" s="2" t="e">
        <f t="shared" ca="1" si="84"/>
        <v>#VALUE!</v>
      </c>
      <c r="U234" s="2" t="e">
        <f t="shared" si="98"/>
        <v>#VALUE!</v>
      </c>
      <c r="V234" s="2" t="e">
        <f t="shared" si="85"/>
        <v>#VALUE!</v>
      </c>
      <c r="W234" s="2">
        <f t="shared" si="86"/>
        <v>477.4153</v>
      </c>
      <c r="X234" s="2" t="e">
        <f t="shared" ca="1" si="87"/>
        <v>#VALUE!</v>
      </c>
      <c r="Y234" s="2" t="e">
        <f t="shared" ca="1" si="88"/>
        <v>#VALUE!</v>
      </c>
      <c r="Z234" s="10">
        <f t="shared" si="89"/>
        <v>0.50888084370936704</v>
      </c>
      <c r="AA234" s="10" t="e">
        <f t="shared" ca="1" si="76"/>
        <v>#VALUE!</v>
      </c>
      <c r="AB234" s="11" t="e">
        <f t="shared" si="90"/>
        <v>#VALUE!</v>
      </c>
      <c r="AC234" s="11" t="e">
        <f>SUM($S$31:S234)/$V$31</f>
        <v>#VALUE!</v>
      </c>
      <c r="AD234" s="11" t="e">
        <f>SUM($S$31:S234,$R$31:R234,$T$31:T234)/$V$31</f>
        <v>#VALUE!</v>
      </c>
      <c r="AE234" s="11" t="e">
        <f>SUM($M$31:M234)/$V$31</f>
        <v>#VALUE!</v>
      </c>
      <c r="AF234" s="11" t="e">
        <f ca="1">SUM(SUM($M$31:M234),-SUM($T$31:T234))/$V$31</f>
        <v>#VALUE!</v>
      </c>
      <c r="AG234">
        <f t="shared" si="77"/>
        <v>41412</v>
      </c>
    </row>
    <row r="235" spans="2:33" x14ac:dyDescent="0.15">
      <c r="B235" s="1">
        <f t="shared" si="91"/>
        <v>204</v>
      </c>
      <c r="C235" s="1">
        <f t="shared" si="78"/>
        <v>204</v>
      </c>
      <c r="D235" s="25">
        <v>3.69077666838016E-2</v>
      </c>
      <c r="E235" s="2">
        <f t="shared" si="79"/>
        <v>58284.096480126231</v>
      </c>
      <c r="F235" s="3">
        <f t="shared" si="92"/>
        <v>0.04</v>
      </c>
      <c r="G235" s="2">
        <f t="shared" si="93"/>
        <v>477.4153</v>
      </c>
      <c r="H235" s="2">
        <f t="shared" si="94"/>
        <v>194.28032160042079</v>
      </c>
      <c r="I235" s="2">
        <f t="shared" si="95"/>
        <v>283.13497839957921</v>
      </c>
      <c r="J235" s="2">
        <f t="shared" si="80"/>
        <v>58000.961501726655</v>
      </c>
      <c r="K235" s="2" t="e">
        <f t="shared" si="99"/>
        <v>#VALUE!</v>
      </c>
      <c r="L235" s="9">
        <v>1.6821425527395739E-3</v>
      </c>
      <c r="M235" s="2" t="e">
        <f t="shared" si="81"/>
        <v>#VALUE!</v>
      </c>
      <c r="N235" s="3">
        <f t="shared" si="82"/>
        <v>0.04</v>
      </c>
      <c r="O235" s="2" t="e">
        <f t="shared" si="83"/>
        <v>#VALUE!</v>
      </c>
      <c r="P235" s="10">
        <f t="shared" si="75"/>
        <v>0.58000961501726656</v>
      </c>
      <c r="Q235" s="13"/>
      <c r="R235" s="2" t="e">
        <f t="shared" si="96"/>
        <v>#VALUE!</v>
      </c>
      <c r="S235" s="2" t="e">
        <f t="shared" si="97"/>
        <v>#VALUE!</v>
      </c>
      <c r="T235" s="2" t="e">
        <f t="shared" ca="1" si="84"/>
        <v>#VALUE!</v>
      </c>
      <c r="U235" s="2" t="e">
        <f t="shared" si="98"/>
        <v>#VALUE!</v>
      </c>
      <c r="V235" s="2" t="e">
        <f t="shared" si="85"/>
        <v>#VALUE!</v>
      </c>
      <c r="W235" s="2">
        <f t="shared" si="86"/>
        <v>477.4153</v>
      </c>
      <c r="X235" s="2" t="e">
        <f t="shared" ca="1" si="87"/>
        <v>#VALUE!</v>
      </c>
      <c r="Y235" s="2" t="e">
        <f t="shared" ca="1" si="88"/>
        <v>#VALUE!</v>
      </c>
      <c r="Z235" s="10">
        <f t="shared" si="89"/>
        <v>0.50719020967754247</v>
      </c>
      <c r="AA235" s="10" t="e">
        <f t="shared" ca="1" si="76"/>
        <v>#VALUE!</v>
      </c>
      <c r="AB235" s="11" t="e">
        <f t="shared" si="90"/>
        <v>#VALUE!</v>
      </c>
      <c r="AC235" s="11" t="e">
        <f>SUM($S$31:S235)/$V$31</f>
        <v>#VALUE!</v>
      </c>
      <c r="AD235" s="11" t="e">
        <f>SUM($S$31:S235,$R$31:R235,$T$31:T235)/$V$31</f>
        <v>#VALUE!</v>
      </c>
      <c r="AE235" s="11" t="e">
        <f>SUM($M$31:M235)/$V$31</f>
        <v>#VALUE!</v>
      </c>
      <c r="AF235" s="11" t="e">
        <f ca="1">SUM(SUM($M$31:M235),-SUM($T$31:T235))/$V$31</f>
        <v>#VALUE!</v>
      </c>
      <c r="AG235">
        <f t="shared" si="77"/>
        <v>41820</v>
      </c>
    </row>
    <row r="236" spans="2:33" x14ac:dyDescent="0.15">
      <c r="B236" s="1">
        <f t="shared" si="91"/>
        <v>205</v>
      </c>
      <c r="C236" s="1">
        <f t="shared" si="78"/>
        <v>205</v>
      </c>
      <c r="D236" s="25">
        <v>3.6861413147208602E-2</v>
      </c>
      <c r="E236" s="2">
        <f t="shared" si="79"/>
        <v>58000.961501726655</v>
      </c>
      <c r="F236" s="3">
        <f t="shared" si="92"/>
        <v>0.04</v>
      </c>
      <c r="G236" s="2">
        <f t="shared" si="93"/>
        <v>477.4153</v>
      </c>
      <c r="H236" s="2">
        <f t="shared" si="94"/>
        <v>193.33653833908886</v>
      </c>
      <c r="I236" s="2">
        <f t="shared" si="95"/>
        <v>284.07876166091114</v>
      </c>
      <c r="J236" s="2">
        <f t="shared" si="80"/>
        <v>57716.882740065746</v>
      </c>
      <c r="K236" s="2" t="e">
        <f t="shared" si="99"/>
        <v>#VALUE!</v>
      </c>
      <c r="L236" s="9">
        <v>1.6821425527395739E-3</v>
      </c>
      <c r="M236" s="2" t="e">
        <f t="shared" si="81"/>
        <v>#VALUE!</v>
      </c>
      <c r="N236" s="3">
        <f t="shared" si="82"/>
        <v>0.04</v>
      </c>
      <c r="O236" s="2" t="e">
        <f t="shared" si="83"/>
        <v>#VALUE!</v>
      </c>
      <c r="P236" s="10">
        <f t="shared" si="75"/>
        <v>0.57716882740065745</v>
      </c>
      <c r="Q236" s="13"/>
      <c r="R236" s="2" t="e">
        <f t="shared" si="96"/>
        <v>#VALUE!</v>
      </c>
      <c r="S236" s="2" t="e">
        <f t="shared" si="97"/>
        <v>#VALUE!</v>
      </c>
      <c r="T236" s="2" t="e">
        <f t="shared" ca="1" si="84"/>
        <v>#VALUE!</v>
      </c>
      <c r="U236" s="2" t="e">
        <f t="shared" si="98"/>
        <v>#VALUE!</v>
      </c>
      <c r="V236" s="2" t="e">
        <f t="shared" si="85"/>
        <v>#VALUE!</v>
      </c>
      <c r="W236" s="2">
        <f t="shared" si="86"/>
        <v>477.4153</v>
      </c>
      <c r="X236" s="2" t="e">
        <f t="shared" ca="1" si="87"/>
        <v>#VALUE!</v>
      </c>
      <c r="Y236" s="2" t="e">
        <f t="shared" ca="1" si="88"/>
        <v>#VALUE!</v>
      </c>
      <c r="Z236" s="10">
        <f t="shared" si="89"/>
        <v>0.50550519237007496</v>
      </c>
      <c r="AA236" s="10" t="e">
        <f t="shared" ca="1" si="76"/>
        <v>#VALUE!</v>
      </c>
      <c r="AB236" s="11" t="e">
        <f t="shared" si="90"/>
        <v>#VALUE!</v>
      </c>
      <c r="AC236" s="11" t="e">
        <f>SUM($S$31:S236)/$V$31</f>
        <v>#VALUE!</v>
      </c>
      <c r="AD236" s="11" t="e">
        <f>SUM($S$31:S236,$R$31:R236,$T$31:T236)/$V$31</f>
        <v>#VALUE!</v>
      </c>
      <c r="AE236" s="11" t="e">
        <f>SUM($M$31:M236)/$V$31</f>
        <v>#VALUE!</v>
      </c>
      <c r="AF236" s="11" t="e">
        <f ca="1">SUM(SUM($M$31:M236),-SUM($T$31:T236))/$V$31</f>
        <v>#VALUE!</v>
      </c>
      <c r="AG236">
        <f t="shared" si="77"/>
        <v>42230</v>
      </c>
    </row>
    <row r="237" spans="2:33" x14ac:dyDescent="0.15">
      <c r="B237" s="1">
        <f t="shared" si="91"/>
        <v>206</v>
      </c>
      <c r="C237" s="1">
        <f t="shared" si="78"/>
        <v>206</v>
      </c>
      <c r="D237" s="25">
        <v>3.6827116858190699E-2</v>
      </c>
      <c r="E237" s="2">
        <f t="shared" si="79"/>
        <v>57716.882740065746</v>
      </c>
      <c r="F237" s="3">
        <f t="shared" si="92"/>
        <v>0.04</v>
      </c>
      <c r="G237" s="2">
        <f t="shared" si="93"/>
        <v>477.4153</v>
      </c>
      <c r="H237" s="2">
        <f t="shared" si="94"/>
        <v>192.38960913355251</v>
      </c>
      <c r="I237" s="2">
        <f t="shared" si="95"/>
        <v>285.02569086644746</v>
      </c>
      <c r="J237" s="2">
        <f t="shared" si="80"/>
        <v>57431.857049199301</v>
      </c>
      <c r="K237" s="2" t="e">
        <f t="shared" si="99"/>
        <v>#VALUE!</v>
      </c>
      <c r="L237" s="9">
        <v>1.6821425527395739E-3</v>
      </c>
      <c r="M237" s="2" t="e">
        <f t="shared" si="81"/>
        <v>#VALUE!</v>
      </c>
      <c r="N237" s="3">
        <f t="shared" si="82"/>
        <v>0.04</v>
      </c>
      <c r="O237" s="2" t="e">
        <f t="shared" si="83"/>
        <v>#VALUE!</v>
      </c>
      <c r="P237" s="10">
        <f t="shared" si="75"/>
        <v>0.57431857049199297</v>
      </c>
      <c r="Q237" s="13"/>
      <c r="R237" s="2" t="e">
        <f t="shared" si="96"/>
        <v>#VALUE!</v>
      </c>
      <c r="S237" s="2" t="e">
        <f t="shared" si="97"/>
        <v>#VALUE!</v>
      </c>
      <c r="T237" s="2" t="e">
        <f t="shared" ca="1" si="84"/>
        <v>#VALUE!</v>
      </c>
      <c r="U237" s="2" t="e">
        <f t="shared" si="98"/>
        <v>#VALUE!</v>
      </c>
      <c r="V237" s="2" t="e">
        <f t="shared" si="85"/>
        <v>#VALUE!</v>
      </c>
      <c r="W237" s="2">
        <f t="shared" si="86"/>
        <v>477.4153</v>
      </c>
      <c r="X237" s="2" t="e">
        <f t="shared" ca="1" si="87"/>
        <v>#VALUE!</v>
      </c>
      <c r="Y237" s="2" t="e">
        <f t="shared" ca="1" si="88"/>
        <v>#VALUE!</v>
      </c>
      <c r="Z237" s="10">
        <f t="shared" si="89"/>
        <v>0.50382577312675003</v>
      </c>
      <c r="AA237" s="10" t="e">
        <f t="shared" ca="1" si="76"/>
        <v>#VALUE!</v>
      </c>
      <c r="AB237" s="11" t="e">
        <f t="shared" si="90"/>
        <v>#VALUE!</v>
      </c>
      <c r="AC237" s="11" t="e">
        <f>SUM($S$31:S237)/$V$31</f>
        <v>#VALUE!</v>
      </c>
      <c r="AD237" s="11" t="e">
        <f>SUM($S$31:S237,$R$31:R237,$T$31:T237)/$V$31</f>
        <v>#VALUE!</v>
      </c>
      <c r="AE237" s="11" t="e">
        <f>SUM($M$31:M237)/$V$31</f>
        <v>#VALUE!</v>
      </c>
      <c r="AF237" s="11" t="e">
        <f ca="1">SUM(SUM($M$31:M237),-SUM($T$31:T237))/$V$31</f>
        <v>#VALUE!</v>
      </c>
      <c r="AG237">
        <f t="shared" si="77"/>
        <v>42642</v>
      </c>
    </row>
    <row r="238" spans="2:33" x14ac:dyDescent="0.15">
      <c r="B238" s="1">
        <f t="shared" si="91"/>
        <v>207</v>
      </c>
      <c r="C238" s="1">
        <f t="shared" si="78"/>
        <v>207</v>
      </c>
      <c r="D238" s="25">
        <v>3.6784475879871797E-2</v>
      </c>
      <c r="E238" s="2">
        <f t="shared" si="79"/>
        <v>57431.857049199301</v>
      </c>
      <c r="F238" s="3">
        <f t="shared" si="92"/>
        <v>0.04</v>
      </c>
      <c r="G238" s="2">
        <f t="shared" si="93"/>
        <v>477.4153</v>
      </c>
      <c r="H238" s="2">
        <f t="shared" si="94"/>
        <v>191.43952349733101</v>
      </c>
      <c r="I238" s="2">
        <f t="shared" si="95"/>
        <v>285.97577650266896</v>
      </c>
      <c r="J238" s="2">
        <f t="shared" si="80"/>
        <v>57145.881272696635</v>
      </c>
      <c r="K238" s="2" t="e">
        <f t="shared" si="99"/>
        <v>#VALUE!</v>
      </c>
      <c r="L238" s="9">
        <v>1.6821425527395739E-3</v>
      </c>
      <c r="M238" s="2" t="e">
        <f t="shared" si="81"/>
        <v>#VALUE!</v>
      </c>
      <c r="N238" s="3">
        <f t="shared" si="82"/>
        <v>0.04</v>
      </c>
      <c r="O238" s="2" t="e">
        <f t="shared" si="83"/>
        <v>#VALUE!</v>
      </c>
      <c r="P238" s="10">
        <f t="shared" si="75"/>
        <v>0.5714588127269663</v>
      </c>
      <c r="Q238" s="13"/>
      <c r="R238" s="2" t="e">
        <f t="shared" si="96"/>
        <v>#VALUE!</v>
      </c>
      <c r="S238" s="2" t="e">
        <f t="shared" si="97"/>
        <v>#VALUE!</v>
      </c>
      <c r="T238" s="2" t="e">
        <f t="shared" ca="1" si="84"/>
        <v>#VALUE!</v>
      </c>
      <c r="U238" s="2" t="e">
        <f t="shared" si="98"/>
        <v>#VALUE!</v>
      </c>
      <c r="V238" s="2" t="e">
        <f t="shared" si="85"/>
        <v>#VALUE!</v>
      </c>
      <c r="W238" s="2">
        <f t="shared" si="86"/>
        <v>477.4153</v>
      </c>
      <c r="X238" s="2" t="e">
        <f t="shared" ca="1" si="87"/>
        <v>#VALUE!</v>
      </c>
      <c r="Y238" s="2" t="e">
        <f t="shared" ca="1" si="88"/>
        <v>#VALUE!</v>
      </c>
      <c r="Z238" s="10">
        <f t="shared" si="89"/>
        <v>0.50215193334934849</v>
      </c>
      <c r="AA238" s="10" t="e">
        <f t="shared" ca="1" si="76"/>
        <v>#VALUE!</v>
      </c>
      <c r="AB238" s="11" t="e">
        <f t="shared" si="90"/>
        <v>#VALUE!</v>
      </c>
      <c r="AC238" s="11" t="e">
        <f>SUM($S$31:S238)/$V$31</f>
        <v>#VALUE!</v>
      </c>
      <c r="AD238" s="11" t="e">
        <f>SUM($S$31:S238,$R$31:R238,$T$31:T238)/$V$31</f>
        <v>#VALUE!</v>
      </c>
      <c r="AE238" s="11" t="e">
        <f>SUM($M$31:M238)/$V$31</f>
        <v>#VALUE!</v>
      </c>
      <c r="AF238" s="11" t="e">
        <f ca="1">SUM(SUM($M$31:M238),-SUM($T$31:T238))/$V$31</f>
        <v>#VALUE!</v>
      </c>
      <c r="AG238">
        <f t="shared" si="77"/>
        <v>43056</v>
      </c>
    </row>
    <row r="239" spans="2:33" x14ac:dyDescent="0.15">
      <c r="B239" s="1">
        <f t="shared" si="91"/>
        <v>208</v>
      </c>
      <c r="C239" s="1">
        <f t="shared" si="78"/>
        <v>208</v>
      </c>
      <c r="D239" s="25">
        <v>3.6746283918689102E-2</v>
      </c>
      <c r="E239" s="2">
        <f t="shared" si="79"/>
        <v>57145.881272696635</v>
      </c>
      <c r="F239" s="3">
        <f t="shared" si="92"/>
        <v>0.04</v>
      </c>
      <c r="G239" s="2">
        <f t="shared" si="93"/>
        <v>477.4153</v>
      </c>
      <c r="H239" s="2">
        <f t="shared" si="94"/>
        <v>190.48627090898879</v>
      </c>
      <c r="I239" s="2">
        <f t="shared" si="95"/>
        <v>286.92902909101122</v>
      </c>
      <c r="J239" s="2">
        <f t="shared" si="80"/>
        <v>56858.952243605621</v>
      </c>
      <c r="K239" s="2" t="e">
        <f t="shared" si="99"/>
        <v>#VALUE!</v>
      </c>
      <c r="L239" s="9">
        <v>1.6821425527395739E-3</v>
      </c>
      <c r="M239" s="2" t="e">
        <f t="shared" si="81"/>
        <v>#VALUE!</v>
      </c>
      <c r="N239" s="3">
        <f t="shared" si="82"/>
        <v>0.04</v>
      </c>
      <c r="O239" s="2" t="e">
        <f t="shared" si="83"/>
        <v>#VALUE!</v>
      </c>
      <c r="P239" s="10">
        <f t="shared" si="75"/>
        <v>0.56858952243605621</v>
      </c>
      <c r="Q239" s="13"/>
      <c r="R239" s="2" t="e">
        <f t="shared" si="96"/>
        <v>#VALUE!</v>
      </c>
      <c r="S239" s="2" t="e">
        <f t="shared" si="97"/>
        <v>#VALUE!</v>
      </c>
      <c r="T239" s="2" t="e">
        <f t="shared" ca="1" si="84"/>
        <v>#VALUE!</v>
      </c>
      <c r="U239" s="2" t="e">
        <f t="shared" si="98"/>
        <v>#VALUE!</v>
      </c>
      <c r="V239" s="2" t="e">
        <f t="shared" si="85"/>
        <v>#VALUE!</v>
      </c>
      <c r="W239" s="2">
        <f t="shared" si="86"/>
        <v>477.4153</v>
      </c>
      <c r="X239" s="2" t="e">
        <f t="shared" ca="1" si="87"/>
        <v>#VALUE!</v>
      </c>
      <c r="Y239" s="2" t="e">
        <f t="shared" ca="1" si="88"/>
        <v>#VALUE!</v>
      </c>
      <c r="Z239" s="10">
        <f t="shared" si="89"/>
        <v>0.50048365450143883</v>
      </c>
      <c r="AA239" s="10" t="e">
        <f t="shared" ca="1" si="76"/>
        <v>#VALUE!</v>
      </c>
      <c r="AB239" s="11" t="e">
        <f t="shared" si="90"/>
        <v>#VALUE!</v>
      </c>
      <c r="AC239" s="11" t="e">
        <f>SUM($S$31:S239)/$V$31</f>
        <v>#VALUE!</v>
      </c>
      <c r="AD239" s="11" t="e">
        <f>SUM($S$31:S239,$R$31:R239,$T$31:T239)/$V$31</f>
        <v>#VALUE!</v>
      </c>
      <c r="AE239" s="11" t="e">
        <f>SUM($M$31:M239)/$V$31</f>
        <v>#VALUE!</v>
      </c>
      <c r="AF239" s="11" t="e">
        <f ca="1">SUM(SUM($M$31:M239),-SUM($T$31:T239))/$V$31</f>
        <v>#VALUE!</v>
      </c>
      <c r="AG239">
        <f t="shared" si="77"/>
        <v>43472</v>
      </c>
    </row>
    <row r="240" spans="2:33" x14ac:dyDescent="0.15">
      <c r="B240" s="1">
        <f t="shared" si="91"/>
        <v>209</v>
      </c>
      <c r="C240" s="1">
        <f t="shared" si="78"/>
        <v>209</v>
      </c>
      <c r="D240" s="25">
        <v>3.6704947716906203E-2</v>
      </c>
      <c r="E240" s="2">
        <f t="shared" si="79"/>
        <v>56858.952243605621</v>
      </c>
      <c r="F240" s="3">
        <f t="shared" si="92"/>
        <v>0.04</v>
      </c>
      <c r="G240" s="2">
        <f t="shared" si="93"/>
        <v>477.4153</v>
      </c>
      <c r="H240" s="2">
        <f t="shared" si="94"/>
        <v>189.52984081201876</v>
      </c>
      <c r="I240" s="2">
        <f t="shared" si="95"/>
        <v>287.88545918798127</v>
      </c>
      <c r="J240" s="2">
        <f t="shared" si="80"/>
        <v>56571.066784417642</v>
      </c>
      <c r="K240" s="2" t="e">
        <f t="shared" si="99"/>
        <v>#VALUE!</v>
      </c>
      <c r="L240" s="9">
        <v>1.6821425527395739E-3</v>
      </c>
      <c r="M240" s="2" t="e">
        <f t="shared" si="81"/>
        <v>#VALUE!</v>
      </c>
      <c r="N240" s="3">
        <f t="shared" si="82"/>
        <v>0.04</v>
      </c>
      <c r="O240" s="2" t="e">
        <f t="shared" si="83"/>
        <v>#VALUE!</v>
      </c>
      <c r="P240" s="10">
        <f t="shared" si="75"/>
        <v>0.56571066784417645</v>
      </c>
      <c r="Q240" s="13"/>
      <c r="R240" s="2" t="e">
        <f t="shared" si="96"/>
        <v>#VALUE!</v>
      </c>
      <c r="S240" s="2" t="e">
        <f t="shared" si="97"/>
        <v>#VALUE!</v>
      </c>
      <c r="T240" s="2" t="e">
        <f t="shared" ca="1" si="84"/>
        <v>#VALUE!</v>
      </c>
      <c r="U240" s="2" t="e">
        <f t="shared" si="98"/>
        <v>#VALUE!</v>
      </c>
      <c r="V240" s="2" t="e">
        <f t="shared" si="85"/>
        <v>#VALUE!</v>
      </c>
      <c r="W240" s="2">
        <f t="shared" si="86"/>
        <v>477.4153</v>
      </c>
      <c r="X240" s="2" t="e">
        <f t="shared" ca="1" si="87"/>
        <v>#VALUE!</v>
      </c>
      <c r="Y240" s="2" t="e">
        <f t="shared" ca="1" si="88"/>
        <v>#VALUE!</v>
      </c>
      <c r="Z240" s="10">
        <f t="shared" si="89"/>
        <v>0.49882091810817164</v>
      </c>
      <c r="AA240" s="10" t="e">
        <f t="shared" ca="1" si="76"/>
        <v>#VALUE!</v>
      </c>
      <c r="AB240" s="11" t="e">
        <f t="shared" si="90"/>
        <v>#VALUE!</v>
      </c>
      <c r="AC240" s="11" t="e">
        <f>SUM($S$31:S240)/$V$31</f>
        <v>#VALUE!</v>
      </c>
      <c r="AD240" s="11" t="e">
        <f>SUM($S$31:S240,$R$31:R240,$T$31:T240)/$V$31</f>
        <v>#VALUE!</v>
      </c>
      <c r="AE240" s="11" t="e">
        <f>SUM($M$31:M240)/$V$31</f>
        <v>#VALUE!</v>
      </c>
      <c r="AF240" s="11" t="e">
        <f ca="1">SUM(SUM($M$31:M240),-SUM($T$31:T240))/$V$31</f>
        <v>#VALUE!</v>
      </c>
      <c r="AG240">
        <f t="shared" si="77"/>
        <v>43890</v>
      </c>
    </row>
    <row r="241" spans="2:33" x14ac:dyDescent="0.15">
      <c r="B241" s="1">
        <f t="shared" si="91"/>
        <v>210</v>
      </c>
      <c r="C241" s="1">
        <f t="shared" si="78"/>
        <v>210</v>
      </c>
      <c r="D241" s="25">
        <v>3.66680442172925E-2</v>
      </c>
      <c r="E241" s="2">
        <f t="shared" si="79"/>
        <v>56571.066784417642</v>
      </c>
      <c r="F241" s="3">
        <f t="shared" si="92"/>
        <v>0.04</v>
      </c>
      <c r="G241" s="2">
        <f t="shared" si="93"/>
        <v>477.4153</v>
      </c>
      <c r="H241" s="2">
        <f t="shared" si="94"/>
        <v>188.57022261472548</v>
      </c>
      <c r="I241" s="2">
        <f t="shared" si="95"/>
        <v>288.84507738527452</v>
      </c>
      <c r="J241" s="2">
        <f t="shared" si="80"/>
        <v>56282.221707032368</v>
      </c>
      <c r="K241" s="2" t="e">
        <f t="shared" si="99"/>
        <v>#VALUE!</v>
      </c>
      <c r="L241" s="9">
        <v>1.6821425527395739E-3</v>
      </c>
      <c r="M241" s="2" t="e">
        <f t="shared" si="81"/>
        <v>#VALUE!</v>
      </c>
      <c r="N241" s="3">
        <f t="shared" si="82"/>
        <v>0.04</v>
      </c>
      <c r="O241" s="2" t="e">
        <f t="shared" si="83"/>
        <v>#VALUE!</v>
      </c>
      <c r="P241" s="10">
        <f t="shared" si="75"/>
        <v>0.56282221707032365</v>
      </c>
      <c r="Q241" s="13"/>
      <c r="R241" s="2" t="e">
        <f t="shared" si="96"/>
        <v>#VALUE!</v>
      </c>
      <c r="S241" s="2" t="e">
        <f t="shared" si="97"/>
        <v>#VALUE!</v>
      </c>
      <c r="T241" s="2" t="e">
        <f t="shared" ca="1" si="84"/>
        <v>#VALUE!</v>
      </c>
      <c r="U241" s="2" t="e">
        <f t="shared" si="98"/>
        <v>#VALUE!</v>
      </c>
      <c r="V241" s="2" t="e">
        <f t="shared" si="85"/>
        <v>#VALUE!</v>
      </c>
      <c r="W241" s="2">
        <f t="shared" si="86"/>
        <v>477.4153</v>
      </c>
      <c r="X241" s="2" t="e">
        <f t="shared" ca="1" si="87"/>
        <v>#VALUE!</v>
      </c>
      <c r="Y241" s="2" t="e">
        <f t="shared" ca="1" si="88"/>
        <v>#VALUE!</v>
      </c>
      <c r="Z241" s="10">
        <f t="shared" si="89"/>
        <v>0.49716370575607677</v>
      </c>
      <c r="AA241" s="10" t="e">
        <f t="shared" ca="1" si="76"/>
        <v>#VALUE!</v>
      </c>
      <c r="AB241" s="11" t="e">
        <f t="shared" si="90"/>
        <v>#VALUE!</v>
      </c>
      <c r="AC241" s="11" t="e">
        <f>SUM($S$31:S241)/$V$31</f>
        <v>#VALUE!</v>
      </c>
      <c r="AD241" s="11" t="e">
        <f>SUM($S$31:S241,$R$31:R241,$T$31:T241)/$V$31</f>
        <v>#VALUE!</v>
      </c>
      <c r="AE241" s="11" t="e">
        <f>SUM($M$31:M241)/$V$31</f>
        <v>#VALUE!</v>
      </c>
      <c r="AF241" s="11" t="e">
        <f ca="1">SUM(SUM($M$31:M241),-SUM($T$31:T241))/$V$31</f>
        <v>#VALUE!</v>
      </c>
      <c r="AG241">
        <f t="shared" si="77"/>
        <v>44310</v>
      </c>
    </row>
    <row r="242" spans="2:33" x14ac:dyDescent="0.15">
      <c r="B242" s="1">
        <f t="shared" si="91"/>
        <v>211</v>
      </c>
      <c r="C242" s="1">
        <f t="shared" si="78"/>
        <v>211</v>
      </c>
      <c r="D242" s="25">
        <v>3.66292768482177E-2</v>
      </c>
      <c r="E242" s="2">
        <f t="shared" si="79"/>
        <v>56282.221707032368</v>
      </c>
      <c r="F242" s="3">
        <f t="shared" si="92"/>
        <v>0.04</v>
      </c>
      <c r="G242" s="2">
        <f t="shared" si="93"/>
        <v>477.4153</v>
      </c>
      <c r="H242" s="2">
        <f t="shared" si="94"/>
        <v>187.6074056901079</v>
      </c>
      <c r="I242" s="2">
        <f t="shared" si="95"/>
        <v>289.80789430989211</v>
      </c>
      <c r="J242" s="2">
        <f t="shared" si="80"/>
        <v>55992.413812722472</v>
      </c>
      <c r="K242" s="2" t="e">
        <f t="shared" si="99"/>
        <v>#VALUE!</v>
      </c>
      <c r="L242" s="9">
        <v>1.6821425527395739E-3</v>
      </c>
      <c r="M242" s="2" t="e">
        <f t="shared" si="81"/>
        <v>#VALUE!</v>
      </c>
      <c r="N242" s="3">
        <f t="shared" si="82"/>
        <v>0.04</v>
      </c>
      <c r="O242" s="2" t="e">
        <f t="shared" si="83"/>
        <v>#VALUE!</v>
      </c>
      <c r="P242" s="10">
        <f t="shared" si="75"/>
        <v>0.55992413812722475</v>
      </c>
      <c r="Q242" s="13"/>
      <c r="R242" s="2" t="e">
        <f t="shared" si="96"/>
        <v>#VALUE!</v>
      </c>
      <c r="S242" s="2" t="e">
        <f t="shared" si="97"/>
        <v>#VALUE!</v>
      </c>
      <c r="T242" s="2" t="e">
        <f t="shared" ca="1" si="84"/>
        <v>#VALUE!</v>
      </c>
      <c r="U242" s="2" t="e">
        <f t="shared" si="98"/>
        <v>#VALUE!</v>
      </c>
      <c r="V242" s="2" t="e">
        <f t="shared" si="85"/>
        <v>#VALUE!</v>
      </c>
      <c r="W242" s="2">
        <f t="shared" si="86"/>
        <v>477.4153</v>
      </c>
      <c r="X242" s="2" t="e">
        <f t="shared" ca="1" si="87"/>
        <v>#VALUE!</v>
      </c>
      <c r="Y242" s="2" t="e">
        <f t="shared" ca="1" si="88"/>
        <v>#VALUE!</v>
      </c>
      <c r="Z242" s="10">
        <f t="shared" si="89"/>
        <v>0.49551199909285792</v>
      </c>
      <c r="AA242" s="10" t="e">
        <f t="shared" ca="1" si="76"/>
        <v>#VALUE!</v>
      </c>
      <c r="AB242" s="11" t="e">
        <f t="shared" si="90"/>
        <v>#VALUE!</v>
      </c>
      <c r="AC242" s="11" t="e">
        <f>SUM($S$31:S242)/$V$31</f>
        <v>#VALUE!</v>
      </c>
      <c r="AD242" s="11" t="e">
        <f>SUM($S$31:S242,$R$31:R242,$T$31:T242)/$V$31</f>
        <v>#VALUE!</v>
      </c>
      <c r="AE242" s="11" t="e">
        <f>SUM($M$31:M242)/$V$31</f>
        <v>#VALUE!</v>
      </c>
      <c r="AF242" s="11" t="e">
        <f ca="1">SUM(SUM($M$31:M242),-SUM($T$31:T242))/$V$31</f>
        <v>#VALUE!</v>
      </c>
      <c r="AG242">
        <f t="shared" si="77"/>
        <v>44732</v>
      </c>
    </row>
    <row r="243" spans="2:33" x14ac:dyDescent="0.15">
      <c r="B243" s="1">
        <f t="shared" si="91"/>
        <v>212</v>
      </c>
      <c r="C243" s="1">
        <f t="shared" si="78"/>
        <v>212</v>
      </c>
      <c r="D243" s="25">
        <v>3.6589907922949499E-2</v>
      </c>
      <c r="E243" s="2">
        <f t="shared" si="79"/>
        <v>55992.413812722472</v>
      </c>
      <c r="F243" s="3">
        <f t="shared" si="92"/>
        <v>0.04</v>
      </c>
      <c r="G243" s="2">
        <f t="shared" si="93"/>
        <v>477.4153</v>
      </c>
      <c r="H243" s="2">
        <f t="shared" si="94"/>
        <v>186.64137937574159</v>
      </c>
      <c r="I243" s="2">
        <f t="shared" si="95"/>
        <v>290.77392062425838</v>
      </c>
      <c r="J243" s="2">
        <f t="shared" si="80"/>
        <v>55701.639892098217</v>
      </c>
      <c r="K243" s="2" t="e">
        <f t="shared" si="99"/>
        <v>#VALUE!</v>
      </c>
      <c r="L243" s="9">
        <v>1.6821425527395739E-3</v>
      </c>
      <c r="M243" s="2" t="e">
        <f t="shared" si="81"/>
        <v>#VALUE!</v>
      </c>
      <c r="N243" s="3">
        <f t="shared" si="82"/>
        <v>0.04</v>
      </c>
      <c r="O243" s="2" t="e">
        <f t="shared" si="83"/>
        <v>#VALUE!</v>
      </c>
      <c r="P243" s="10">
        <f t="shared" si="75"/>
        <v>0.5570163989209822</v>
      </c>
      <c r="Q243" s="13"/>
      <c r="R243" s="2" t="e">
        <f t="shared" si="96"/>
        <v>#VALUE!</v>
      </c>
      <c r="S243" s="2" t="e">
        <f t="shared" si="97"/>
        <v>#VALUE!</v>
      </c>
      <c r="T243" s="2" t="e">
        <f t="shared" ca="1" si="84"/>
        <v>#VALUE!</v>
      </c>
      <c r="U243" s="2" t="e">
        <f t="shared" si="98"/>
        <v>#VALUE!</v>
      </c>
      <c r="V243" s="2" t="e">
        <f t="shared" si="85"/>
        <v>#VALUE!</v>
      </c>
      <c r="W243" s="2">
        <f t="shared" si="86"/>
        <v>477.4153</v>
      </c>
      <c r="X243" s="2" t="e">
        <f t="shared" ca="1" si="87"/>
        <v>#VALUE!</v>
      </c>
      <c r="Y243" s="2" t="e">
        <f t="shared" ca="1" si="88"/>
        <v>#VALUE!</v>
      </c>
      <c r="Z243" s="10">
        <f t="shared" si="89"/>
        <v>0.49386577982718999</v>
      </c>
      <c r="AA243" s="10" t="e">
        <f t="shared" ca="1" si="76"/>
        <v>#VALUE!</v>
      </c>
      <c r="AB243" s="11" t="e">
        <f t="shared" si="90"/>
        <v>#VALUE!</v>
      </c>
      <c r="AC243" s="11" t="e">
        <f>SUM($S$31:S243)/$V$31</f>
        <v>#VALUE!</v>
      </c>
      <c r="AD243" s="11" t="e">
        <f>SUM($S$31:S243,$R$31:R243,$T$31:T243)/$V$31</f>
        <v>#VALUE!</v>
      </c>
      <c r="AE243" s="11" t="e">
        <f>SUM($M$31:M243)/$V$31</f>
        <v>#VALUE!</v>
      </c>
      <c r="AF243" s="11" t="e">
        <f ca="1">SUM(SUM($M$31:M243),-SUM($T$31:T243))/$V$31</f>
        <v>#VALUE!</v>
      </c>
      <c r="AG243">
        <f t="shared" si="77"/>
        <v>45156</v>
      </c>
    </row>
    <row r="244" spans="2:33" x14ac:dyDescent="0.15">
      <c r="B244" s="1">
        <f t="shared" si="91"/>
        <v>213</v>
      </c>
      <c r="C244" s="1">
        <f t="shared" si="78"/>
        <v>213</v>
      </c>
      <c r="D244" s="25">
        <v>3.6554948161779198E-2</v>
      </c>
      <c r="E244" s="2">
        <f t="shared" si="79"/>
        <v>55701.639892098217</v>
      </c>
      <c r="F244" s="3">
        <f t="shared" si="92"/>
        <v>0.04</v>
      </c>
      <c r="G244" s="2">
        <f t="shared" si="93"/>
        <v>477.4153</v>
      </c>
      <c r="H244" s="2">
        <f t="shared" si="94"/>
        <v>185.67213297366072</v>
      </c>
      <c r="I244" s="2">
        <f t="shared" si="95"/>
        <v>291.74316702633928</v>
      </c>
      <c r="J244" s="2">
        <f t="shared" si="80"/>
        <v>55409.896725071878</v>
      </c>
      <c r="K244" s="2" t="e">
        <f t="shared" si="99"/>
        <v>#VALUE!</v>
      </c>
      <c r="L244" s="9">
        <v>1.6821425527395739E-3</v>
      </c>
      <c r="M244" s="2" t="e">
        <f t="shared" si="81"/>
        <v>#VALUE!</v>
      </c>
      <c r="N244" s="3">
        <f t="shared" si="82"/>
        <v>0.04</v>
      </c>
      <c r="O244" s="2" t="e">
        <f t="shared" si="83"/>
        <v>#VALUE!</v>
      </c>
      <c r="P244" s="10">
        <f t="shared" si="75"/>
        <v>0.55409896725071883</v>
      </c>
      <c r="Q244" s="13"/>
      <c r="R244" s="2" t="e">
        <f t="shared" si="96"/>
        <v>#VALUE!</v>
      </c>
      <c r="S244" s="2" t="e">
        <f t="shared" si="97"/>
        <v>#VALUE!</v>
      </c>
      <c r="T244" s="2" t="e">
        <f t="shared" ca="1" si="84"/>
        <v>#VALUE!</v>
      </c>
      <c r="U244" s="2" t="e">
        <f t="shared" si="98"/>
        <v>#VALUE!</v>
      </c>
      <c r="V244" s="2" t="e">
        <f t="shared" si="85"/>
        <v>#VALUE!</v>
      </c>
      <c r="W244" s="2">
        <f t="shared" si="86"/>
        <v>477.4153</v>
      </c>
      <c r="X244" s="2" t="e">
        <f t="shared" ca="1" si="87"/>
        <v>#VALUE!</v>
      </c>
      <c r="Y244" s="2" t="e">
        <f t="shared" ca="1" si="88"/>
        <v>#VALUE!</v>
      </c>
      <c r="Z244" s="10">
        <f t="shared" si="89"/>
        <v>0.49222502972851612</v>
      </c>
      <c r="AA244" s="10" t="e">
        <f t="shared" ca="1" si="76"/>
        <v>#VALUE!</v>
      </c>
      <c r="AB244" s="11" t="e">
        <f t="shared" si="90"/>
        <v>#VALUE!</v>
      </c>
      <c r="AC244" s="11" t="e">
        <f>SUM($S$31:S244)/$V$31</f>
        <v>#VALUE!</v>
      </c>
      <c r="AD244" s="11" t="e">
        <f>SUM($S$31:S244,$R$31:R244,$T$31:T244)/$V$31</f>
        <v>#VALUE!</v>
      </c>
      <c r="AE244" s="11" t="e">
        <f>SUM($M$31:M244)/$V$31</f>
        <v>#VALUE!</v>
      </c>
      <c r="AF244" s="11" t="e">
        <f ca="1">SUM(SUM($M$31:M244),-SUM($T$31:T244))/$V$31</f>
        <v>#VALUE!</v>
      </c>
      <c r="AG244">
        <f t="shared" si="77"/>
        <v>45582</v>
      </c>
    </row>
    <row r="245" spans="2:33" x14ac:dyDescent="0.15">
      <c r="B245" s="1">
        <f t="shared" si="91"/>
        <v>214</v>
      </c>
      <c r="C245" s="1">
        <f t="shared" si="78"/>
        <v>214</v>
      </c>
      <c r="D245" s="25">
        <v>3.6516883243391696E-2</v>
      </c>
      <c r="E245" s="2">
        <f t="shared" si="79"/>
        <v>55409.896725071878</v>
      </c>
      <c r="F245" s="3">
        <f t="shared" si="92"/>
        <v>0.04</v>
      </c>
      <c r="G245" s="2">
        <f t="shared" si="93"/>
        <v>477.4153</v>
      </c>
      <c r="H245" s="2">
        <f t="shared" si="94"/>
        <v>184.6996557502396</v>
      </c>
      <c r="I245" s="2">
        <f t="shared" si="95"/>
        <v>292.71564424976043</v>
      </c>
      <c r="J245" s="2">
        <f t="shared" si="80"/>
        <v>55117.18108082212</v>
      </c>
      <c r="K245" s="2" t="e">
        <f t="shared" si="99"/>
        <v>#VALUE!</v>
      </c>
      <c r="L245" s="9">
        <v>1.6821425527395739E-3</v>
      </c>
      <c r="M245" s="2" t="e">
        <f t="shared" si="81"/>
        <v>#VALUE!</v>
      </c>
      <c r="N245" s="3">
        <f t="shared" si="82"/>
        <v>0.04</v>
      </c>
      <c r="O245" s="2" t="e">
        <f t="shared" si="83"/>
        <v>#VALUE!</v>
      </c>
      <c r="P245" s="10">
        <f t="shared" si="75"/>
        <v>0.5511718108082212</v>
      </c>
      <c r="Q245" s="13"/>
      <c r="R245" s="2" t="e">
        <f t="shared" si="96"/>
        <v>#VALUE!</v>
      </c>
      <c r="S245" s="2" t="e">
        <f t="shared" si="97"/>
        <v>#VALUE!</v>
      </c>
      <c r="T245" s="2" t="e">
        <f t="shared" ca="1" si="84"/>
        <v>#VALUE!</v>
      </c>
      <c r="U245" s="2" t="e">
        <f t="shared" si="98"/>
        <v>#VALUE!</v>
      </c>
      <c r="V245" s="2" t="e">
        <f t="shared" si="85"/>
        <v>#VALUE!</v>
      </c>
      <c r="W245" s="2">
        <f t="shared" si="86"/>
        <v>477.4153</v>
      </c>
      <c r="X245" s="2" t="e">
        <f t="shared" ca="1" si="87"/>
        <v>#VALUE!</v>
      </c>
      <c r="Y245" s="2" t="e">
        <f t="shared" ca="1" si="88"/>
        <v>#VALUE!</v>
      </c>
      <c r="Z245" s="10">
        <f t="shared" si="89"/>
        <v>0.49058973062684635</v>
      </c>
      <c r="AA245" s="10" t="e">
        <f t="shared" ca="1" si="76"/>
        <v>#VALUE!</v>
      </c>
      <c r="AB245" s="11" t="e">
        <f t="shared" si="90"/>
        <v>#VALUE!</v>
      </c>
      <c r="AC245" s="11" t="e">
        <f>SUM($S$31:S245)/$V$31</f>
        <v>#VALUE!</v>
      </c>
      <c r="AD245" s="11" t="e">
        <f>SUM($S$31:S245,$R$31:R245,$T$31:T245)/$V$31</f>
        <v>#VALUE!</v>
      </c>
      <c r="AE245" s="11" t="e">
        <f>SUM($M$31:M245)/$V$31</f>
        <v>#VALUE!</v>
      </c>
      <c r="AF245" s="11" t="e">
        <f ca="1">SUM(SUM($M$31:M245),-SUM($T$31:T245))/$V$31</f>
        <v>#VALUE!</v>
      </c>
      <c r="AG245">
        <f t="shared" si="77"/>
        <v>46010</v>
      </c>
    </row>
    <row r="246" spans="2:33" x14ac:dyDescent="0.15">
      <c r="B246" s="1">
        <f t="shared" si="91"/>
        <v>215</v>
      </c>
      <c r="C246" s="1">
        <f t="shared" si="78"/>
        <v>215</v>
      </c>
      <c r="D246" s="25">
        <v>3.64832125856899E-2</v>
      </c>
      <c r="E246" s="2">
        <f t="shared" si="79"/>
        <v>55117.18108082212</v>
      </c>
      <c r="F246" s="3">
        <f t="shared" si="92"/>
        <v>0.04</v>
      </c>
      <c r="G246" s="2">
        <f t="shared" si="93"/>
        <v>477.4153</v>
      </c>
      <c r="H246" s="2">
        <f t="shared" si="94"/>
        <v>183.72393693607376</v>
      </c>
      <c r="I246" s="2">
        <f t="shared" si="95"/>
        <v>293.69136306392625</v>
      </c>
      <c r="J246" s="2">
        <f t="shared" si="80"/>
        <v>54823.489717758195</v>
      </c>
      <c r="K246" s="2" t="e">
        <f t="shared" si="99"/>
        <v>#VALUE!</v>
      </c>
      <c r="L246" s="9">
        <v>1.6821425527395739E-3</v>
      </c>
      <c r="M246" s="2" t="e">
        <f t="shared" si="81"/>
        <v>#VALUE!</v>
      </c>
      <c r="N246" s="3">
        <f t="shared" si="82"/>
        <v>0.04</v>
      </c>
      <c r="O246" s="2" t="e">
        <f t="shared" si="83"/>
        <v>#VALUE!</v>
      </c>
      <c r="P246" s="10">
        <f t="shared" si="75"/>
        <v>0.548234897177582</v>
      </c>
      <c r="Q246" s="13"/>
      <c r="R246" s="2" t="e">
        <f t="shared" si="96"/>
        <v>#VALUE!</v>
      </c>
      <c r="S246" s="2" t="e">
        <f t="shared" si="97"/>
        <v>#VALUE!</v>
      </c>
      <c r="T246" s="2" t="e">
        <f t="shared" ca="1" si="84"/>
        <v>#VALUE!</v>
      </c>
      <c r="U246" s="2" t="e">
        <f t="shared" si="98"/>
        <v>#VALUE!</v>
      </c>
      <c r="V246" s="2" t="e">
        <f t="shared" si="85"/>
        <v>#VALUE!</v>
      </c>
      <c r="W246" s="2">
        <f t="shared" si="86"/>
        <v>477.4153</v>
      </c>
      <c r="X246" s="2" t="e">
        <f t="shared" ca="1" si="87"/>
        <v>#VALUE!</v>
      </c>
      <c r="Y246" s="2" t="e">
        <f t="shared" ca="1" si="88"/>
        <v>#VALUE!</v>
      </c>
      <c r="Z246" s="10">
        <f t="shared" si="89"/>
        <v>0.48895986441255623</v>
      </c>
      <c r="AA246" s="10" t="e">
        <f t="shared" ca="1" si="76"/>
        <v>#VALUE!</v>
      </c>
      <c r="AB246" s="11" t="e">
        <f t="shared" si="90"/>
        <v>#VALUE!</v>
      </c>
      <c r="AC246" s="11" t="e">
        <f>SUM($S$31:S246)/$V$31</f>
        <v>#VALUE!</v>
      </c>
      <c r="AD246" s="11" t="e">
        <f>SUM($S$31:S246,$R$31:R246,$T$31:T246)/$V$31</f>
        <v>#VALUE!</v>
      </c>
      <c r="AE246" s="11" t="e">
        <f>SUM($M$31:M246)/$V$31</f>
        <v>#VALUE!</v>
      </c>
      <c r="AF246" s="11" t="e">
        <f ca="1">SUM(SUM($M$31:M246),-SUM($T$31:T246))/$V$31</f>
        <v>#VALUE!</v>
      </c>
      <c r="AG246">
        <f t="shared" si="77"/>
        <v>46440</v>
      </c>
    </row>
    <row r="247" spans="2:33" x14ac:dyDescent="0.15">
      <c r="B247" s="1">
        <f t="shared" si="91"/>
        <v>216</v>
      </c>
      <c r="C247" s="1">
        <f t="shared" si="78"/>
        <v>216</v>
      </c>
      <c r="D247" s="25">
        <v>3.6447750544204703E-2</v>
      </c>
      <c r="E247" s="2">
        <f t="shared" si="79"/>
        <v>54823.489717758195</v>
      </c>
      <c r="F247" s="3">
        <f t="shared" si="92"/>
        <v>0.04</v>
      </c>
      <c r="G247" s="2">
        <f t="shared" si="93"/>
        <v>477.4153</v>
      </c>
      <c r="H247" s="2">
        <f t="shared" si="94"/>
        <v>182.74496572586065</v>
      </c>
      <c r="I247" s="2">
        <f t="shared" si="95"/>
        <v>294.67033427413935</v>
      </c>
      <c r="J247" s="2">
        <f t="shared" si="80"/>
        <v>54528.819383484057</v>
      </c>
      <c r="K247" s="2" t="e">
        <f t="shared" si="99"/>
        <v>#VALUE!</v>
      </c>
      <c r="L247" s="9">
        <v>1.6821425527395739E-3</v>
      </c>
      <c r="M247" s="2" t="e">
        <f t="shared" si="81"/>
        <v>#VALUE!</v>
      </c>
      <c r="N247" s="3">
        <f t="shared" si="82"/>
        <v>0.04</v>
      </c>
      <c r="O247" s="2" t="e">
        <f t="shared" si="83"/>
        <v>#VALUE!</v>
      </c>
      <c r="P247" s="10">
        <f t="shared" si="75"/>
        <v>0.54528819383484062</v>
      </c>
      <c r="Q247" s="13"/>
      <c r="R247" s="2" t="e">
        <f t="shared" si="96"/>
        <v>#VALUE!</v>
      </c>
      <c r="S247" s="2" t="e">
        <f t="shared" si="97"/>
        <v>#VALUE!</v>
      </c>
      <c r="T247" s="2" t="e">
        <f t="shared" ca="1" si="84"/>
        <v>#VALUE!</v>
      </c>
      <c r="U247" s="2" t="e">
        <f t="shared" si="98"/>
        <v>#VALUE!</v>
      </c>
      <c r="V247" s="2" t="e">
        <f t="shared" si="85"/>
        <v>#VALUE!</v>
      </c>
      <c r="W247" s="2">
        <f t="shared" si="86"/>
        <v>477.4153</v>
      </c>
      <c r="X247" s="2" t="e">
        <f t="shared" ca="1" si="87"/>
        <v>#VALUE!</v>
      </c>
      <c r="Y247" s="2" t="e">
        <f t="shared" ca="1" si="88"/>
        <v>#VALUE!</v>
      </c>
      <c r="Z247" s="10">
        <f t="shared" si="89"/>
        <v>0.48733541303618594</v>
      </c>
      <c r="AA247" s="10" t="e">
        <f t="shared" ca="1" si="76"/>
        <v>#VALUE!</v>
      </c>
      <c r="AB247" s="11" t="e">
        <f t="shared" si="90"/>
        <v>#VALUE!</v>
      </c>
      <c r="AC247" s="11" t="e">
        <f>SUM($S$31:S247)/$V$31</f>
        <v>#VALUE!</v>
      </c>
      <c r="AD247" s="11" t="e">
        <f>SUM($S$31:S247,$R$31:R247,$T$31:T247)/$V$31</f>
        <v>#VALUE!</v>
      </c>
      <c r="AE247" s="11" t="e">
        <f>SUM($M$31:M247)/$V$31</f>
        <v>#VALUE!</v>
      </c>
      <c r="AF247" s="11" t="e">
        <f ca="1">SUM(SUM($M$31:M247),-SUM($T$31:T247))/$V$31</f>
        <v>#VALUE!</v>
      </c>
      <c r="AG247">
        <f t="shared" si="77"/>
        <v>46872</v>
      </c>
    </row>
    <row r="248" spans="2:33" x14ac:dyDescent="0.15">
      <c r="B248" s="1">
        <f t="shared" si="91"/>
        <v>217</v>
      </c>
      <c r="C248" s="1">
        <f t="shared" si="78"/>
        <v>217</v>
      </c>
      <c r="D248" s="25">
        <v>3.6409039614850397E-2</v>
      </c>
      <c r="E248" s="2">
        <f t="shared" si="79"/>
        <v>54528.819383484057</v>
      </c>
      <c r="F248" s="3">
        <f t="shared" si="92"/>
        <v>0.04</v>
      </c>
      <c r="G248" s="2">
        <f t="shared" si="93"/>
        <v>477.4153</v>
      </c>
      <c r="H248" s="2">
        <f t="shared" si="94"/>
        <v>181.7627312782802</v>
      </c>
      <c r="I248" s="2">
        <f t="shared" si="95"/>
        <v>295.65256872171983</v>
      </c>
      <c r="J248" s="2">
        <f t="shared" si="80"/>
        <v>54233.166814762335</v>
      </c>
      <c r="K248" s="2" t="e">
        <f t="shared" si="99"/>
        <v>#VALUE!</v>
      </c>
      <c r="L248" s="9">
        <v>1.6821425527395739E-3</v>
      </c>
      <c r="M248" s="2" t="e">
        <f t="shared" si="81"/>
        <v>#VALUE!</v>
      </c>
      <c r="N248" s="3">
        <f t="shared" si="82"/>
        <v>0.04</v>
      </c>
      <c r="O248" s="2" t="e">
        <f t="shared" si="83"/>
        <v>#VALUE!</v>
      </c>
      <c r="P248" s="10">
        <f t="shared" si="75"/>
        <v>0.54233166814762335</v>
      </c>
      <c r="Q248" s="13"/>
      <c r="R248" s="2" t="e">
        <f t="shared" si="96"/>
        <v>#VALUE!</v>
      </c>
      <c r="S248" s="2" t="e">
        <f t="shared" si="97"/>
        <v>#VALUE!</v>
      </c>
      <c r="T248" s="2" t="e">
        <f t="shared" ca="1" si="84"/>
        <v>#VALUE!</v>
      </c>
      <c r="U248" s="2" t="e">
        <f t="shared" si="98"/>
        <v>#VALUE!</v>
      </c>
      <c r="V248" s="2" t="e">
        <f t="shared" si="85"/>
        <v>#VALUE!</v>
      </c>
      <c r="W248" s="2">
        <f t="shared" si="86"/>
        <v>477.4153</v>
      </c>
      <c r="X248" s="2" t="e">
        <f t="shared" ca="1" si="87"/>
        <v>#VALUE!</v>
      </c>
      <c r="Y248" s="2" t="e">
        <f t="shared" ca="1" si="88"/>
        <v>#VALUE!</v>
      </c>
      <c r="Z248" s="10">
        <f t="shared" si="89"/>
        <v>0.4857163585082408</v>
      </c>
      <c r="AA248" s="10" t="e">
        <f t="shared" ca="1" si="76"/>
        <v>#VALUE!</v>
      </c>
      <c r="AB248" s="11" t="e">
        <f t="shared" si="90"/>
        <v>#VALUE!</v>
      </c>
      <c r="AC248" s="11" t="e">
        <f>SUM($S$31:S248)/$V$31</f>
        <v>#VALUE!</v>
      </c>
      <c r="AD248" s="11" t="e">
        <f>SUM($S$31:S248,$R$31:R248,$T$31:T248)/$V$31</f>
        <v>#VALUE!</v>
      </c>
      <c r="AE248" s="11" t="e">
        <f>SUM($M$31:M248)/$V$31</f>
        <v>#VALUE!</v>
      </c>
      <c r="AF248" s="11" t="e">
        <f ca="1">SUM(SUM($M$31:M248),-SUM($T$31:T248))/$V$31</f>
        <v>#VALUE!</v>
      </c>
      <c r="AG248">
        <f t="shared" si="77"/>
        <v>47306</v>
      </c>
    </row>
    <row r="249" spans="2:33" x14ac:dyDescent="0.15">
      <c r="B249" s="1">
        <f t="shared" si="91"/>
        <v>218</v>
      </c>
      <c r="C249" s="1">
        <f t="shared" si="78"/>
        <v>218</v>
      </c>
      <c r="D249" s="25">
        <v>3.6382108446136596E-2</v>
      </c>
      <c r="E249" s="2">
        <f t="shared" si="79"/>
        <v>54233.166814762335</v>
      </c>
      <c r="F249" s="3">
        <f t="shared" si="92"/>
        <v>0.04</v>
      </c>
      <c r="G249" s="2">
        <f t="shared" si="93"/>
        <v>477.4153</v>
      </c>
      <c r="H249" s="2">
        <f t="shared" si="94"/>
        <v>180.77722271587447</v>
      </c>
      <c r="I249" s="2">
        <f t="shared" si="95"/>
        <v>296.63807728412553</v>
      </c>
      <c r="J249" s="2">
        <f t="shared" si="80"/>
        <v>53936.528737478213</v>
      </c>
      <c r="K249" s="2" t="e">
        <f t="shared" si="99"/>
        <v>#VALUE!</v>
      </c>
      <c r="L249" s="9">
        <v>1.6821425527395739E-3</v>
      </c>
      <c r="M249" s="2" t="e">
        <f t="shared" si="81"/>
        <v>#VALUE!</v>
      </c>
      <c r="N249" s="3">
        <f t="shared" si="82"/>
        <v>0.04</v>
      </c>
      <c r="O249" s="2" t="e">
        <f t="shared" si="83"/>
        <v>#VALUE!</v>
      </c>
      <c r="P249" s="10">
        <f t="shared" si="75"/>
        <v>0.53936528737478218</v>
      </c>
      <c r="Q249" s="13"/>
      <c r="R249" s="2" t="e">
        <f t="shared" si="96"/>
        <v>#VALUE!</v>
      </c>
      <c r="S249" s="2" t="e">
        <f t="shared" si="97"/>
        <v>#VALUE!</v>
      </c>
      <c r="T249" s="2" t="e">
        <f t="shared" ca="1" si="84"/>
        <v>#VALUE!</v>
      </c>
      <c r="U249" s="2" t="e">
        <f t="shared" si="98"/>
        <v>#VALUE!</v>
      </c>
      <c r="V249" s="2" t="e">
        <f t="shared" si="85"/>
        <v>#VALUE!</v>
      </c>
      <c r="W249" s="2">
        <f t="shared" si="86"/>
        <v>477.4153</v>
      </c>
      <c r="X249" s="2" t="e">
        <f t="shared" ca="1" si="87"/>
        <v>#VALUE!</v>
      </c>
      <c r="Y249" s="2" t="e">
        <f t="shared" ca="1" si="88"/>
        <v>#VALUE!</v>
      </c>
      <c r="Z249" s="10">
        <f t="shared" si="89"/>
        <v>0.48410268289899167</v>
      </c>
      <c r="AA249" s="10" t="e">
        <f t="shared" ca="1" si="76"/>
        <v>#VALUE!</v>
      </c>
      <c r="AB249" s="11" t="e">
        <f t="shared" si="90"/>
        <v>#VALUE!</v>
      </c>
      <c r="AC249" s="11" t="e">
        <f>SUM($S$31:S249)/$V$31</f>
        <v>#VALUE!</v>
      </c>
      <c r="AD249" s="11" t="e">
        <f>SUM($S$31:S249,$R$31:R249,$T$31:T249)/$V$31</f>
        <v>#VALUE!</v>
      </c>
      <c r="AE249" s="11" t="e">
        <f>SUM($M$31:M249)/$V$31</f>
        <v>#VALUE!</v>
      </c>
      <c r="AF249" s="11" t="e">
        <f ca="1">SUM(SUM($M$31:M249),-SUM($T$31:T249))/$V$31</f>
        <v>#VALUE!</v>
      </c>
      <c r="AG249">
        <f t="shared" si="77"/>
        <v>47742</v>
      </c>
    </row>
    <row r="250" spans="2:33" x14ac:dyDescent="0.15">
      <c r="B250" s="1">
        <f t="shared" si="91"/>
        <v>219</v>
      </c>
      <c r="C250" s="1">
        <f t="shared" si="78"/>
        <v>219</v>
      </c>
      <c r="D250" s="25">
        <v>3.6347270182939699E-2</v>
      </c>
      <c r="E250" s="2">
        <f t="shared" si="79"/>
        <v>53936.528737478213</v>
      </c>
      <c r="F250" s="3">
        <f t="shared" si="92"/>
        <v>0.04</v>
      </c>
      <c r="G250" s="2">
        <f t="shared" si="93"/>
        <v>477.4153</v>
      </c>
      <c r="H250" s="2">
        <f t="shared" si="94"/>
        <v>179.78842912492738</v>
      </c>
      <c r="I250" s="2">
        <f t="shared" si="95"/>
        <v>297.62687087507265</v>
      </c>
      <c r="J250" s="2">
        <f t="shared" si="80"/>
        <v>53638.901866603141</v>
      </c>
      <c r="K250" s="2" t="e">
        <f t="shared" si="99"/>
        <v>#VALUE!</v>
      </c>
      <c r="L250" s="9">
        <v>1.6821425527395739E-3</v>
      </c>
      <c r="M250" s="2" t="e">
        <f t="shared" si="81"/>
        <v>#VALUE!</v>
      </c>
      <c r="N250" s="3">
        <f t="shared" si="82"/>
        <v>0.04</v>
      </c>
      <c r="O250" s="2" t="e">
        <f t="shared" si="83"/>
        <v>#VALUE!</v>
      </c>
      <c r="P250" s="10">
        <f t="shared" si="75"/>
        <v>0.53638901866603139</v>
      </c>
      <c r="Q250" s="13"/>
      <c r="R250" s="2" t="e">
        <f t="shared" si="96"/>
        <v>#VALUE!</v>
      </c>
      <c r="S250" s="2" t="e">
        <f t="shared" si="97"/>
        <v>#VALUE!</v>
      </c>
      <c r="T250" s="2" t="e">
        <f t="shared" ca="1" si="84"/>
        <v>#VALUE!</v>
      </c>
      <c r="U250" s="2" t="e">
        <f t="shared" si="98"/>
        <v>#VALUE!</v>
      </c>
      <c r="V250" s="2" t="e">
        <f t="shared" si="85"/>
        <v>#VALUE!</v>
      </c>
      <c r="W250" s="2">
        <f t="shared" si="86"/>
        <v>477.4153</v>
      </c>
      <c r="X250" s="2" t="e">
        <f t="shared" ca="1" si="87"/>
        <v>#VALUE!</v>
      </c>
      <c r="Y250" s="2" t="e">
        <f t="shared" ca="1" si="88"/>
        <v>#VALUE!</v>
      </c>
      <c r="Z250" s="10">
        <f t="shared" si="89"/>
        <v>0.48249436833827691</v>
      </c>
      <c r="AA250" s="10" t="e">
        <f t="shared" ca="1" si="76"/>
        <v>#VALUE!</v>
      </c>
      <c r="AB250" s="11" t="e">
        <f t="shared" si="90"/>
        <v>#VALUE!</v>
      </c>
      <c r="AC250" s="11" t="e">
        <f>SUM($S$31:S250)/$V$31</f>
        <v>#VALUE!</v>
      </c>
      <c r="AD250" s="11" t="e">
        <f>SUM($S$31:S250,$R$31:R250,$T$31:T250)/$V$31</f>
        <v>#VALUE!</v>
      </c>
      <c r="AE250" s="11" t="e">
        <f>SUM($M$31:M250)/$V$31</f>
        <v>#VALUE!</v>
      </c>
      <c r="AF250" s="11" t="e">
        <f ca="1">SUM(SUM($M$31:M250),-SUM($T$31:T250))/$V$31</f>
        <v>#VALUE!</v>
      </c>
      <c r="AG250">
        <f t="shared" si="77"/>
        <v>48180</v>
      </c>
    </row>
    <row r="251" spans="2:33" x14ac:dyDescent="0.15">
      <c r="B251" s="1">
        <f t="shared" si="91"/>
        <v>220</v>
      </c>
      <c r="C251" s="1">
        <f t="shared" si="78"/>
        <v>220</v>
      </c>
      <c r="D251" s="25">
        <v>3.6316791678552E-2</v>
      </c>
      <c r="E251" s="2">
        <f t="shared" si="79"/>
        <v>53638.901866603141</v>
      </c>
      <c r="F251" s="3">
        <f t="shared" si="92"/>
        <v>0.04</v>
      </c>
      <c r="G251" s="2">
        <f t="shared" si="93"/>
        <v>477.4153</v>
      </c>
      <c r="H251" s="2">
        <f t="shared" si="94"/>
        <v>178.79633955534382</v>
      </c>
      <c r="I251" s="2">
        <f t="shared" si="95"/>
        <v>298.61896044465618</v>
      </c>
      <c r="J251" s="2">
        <f t="shared" si="80"/>
        <v>53340.282906158485</v>
      </c>
      <c r="K251" s="2" t="e">
        <f t="shared" si="99"/>
        <v>#VALUE!</v>
      </c>
      <c r="L251" s="9">
        <v>1.6821425527395739E-3</v>
      </c>
      <c r="M251" s="2" t="e">
        <f t="shared" si="81"/>
        <v>#VALUE!</v>
      </c>
      <c r="N251" s="3">
        <f t="shared" si="82"/>
        <v>0.04</v>
      </c>
      <c r="O251" s="2" t="e">
        <f t="shared" si="83"/>
        <v>#VALUE!</v>
      </c>
      <c r="P251" s="10">
        <f t="shared" si="75"/>
        <v>0.53340282906158487</v>
      </c>
      <c r="Q251" s="13"/>
      <c r="R251" s="2" t="e">
        <f t="shared" si="96"/>
        <v>#VALUE!</v>
      </c>
      <c r="S251" s="2" t="e">
        <f t="shared" si="97"/>
        <v>#VALUE!</v>
      </c>
      <c r="T251" s="2" t="e">
        <f t="shared" ca="1" si="84"/>
        <v>#VALUE!</v>
      </c>
      <c r="U251" s="2" t="e">
        <f t="shared" si="98"/>
        <v>#VALUE!</v>
      </c>
      <c r="V251" s="2" t="e">
        <f t="shared" si="85"/>
        <v>#VALUE!</v>
      </c>
      <c r="W251" s="2">
        <f t="shared" si="86"/>
        <v>477.4153</v>
      </c>
      <c r="X251" s="2" t="e">
        <f t="shared" ca="1" si="87"/>
        <v>#VALUE!</v>
      </c>
      <c r="Y251" s="2" t="e">
        <f t="shared" ca="1" si="88"/>
        <v>#VALUE!</v>
      </c>
      <c r="Z251" s="10">
        <f t="shared" si="89"/>
        <v>0.4808913970153042</v>
      </c>
      <c r="AA251" s="10" t="e">
        <f t="shared" ca="1" si="76"/>
        <v>#VALUE!</v>
      </c>
      <c r="AB251" s="11" t="e">
        <f t="shared" si="90"/>
        <v>#VALUE!</v>
      </c>
      <c r="AC251" s="11" t="e">
        <f>SUM($S$31:S251)/$V$31</f>
        <v>#VALUE!</v>
      </c>
      <c r="AD251" s="11" t="e">
        <f>SUM($S$31:S251,$R$31:R251,$T$31:T251)/$V$31</f>
        <v>#VALUE!</v>
      </c>
      <c r="AE251" s="11" t="e">
        <f>SUM($M$31:M251)/$V$31</f>
        <v>#VALUE!</v>
      </c>
      <c r="AF251" s="11" t="e">
        <f ca="1">SUM(SUM($M$31:M251),-SUM($T$31:T251))/$V$31</f>
        <v>#VALUE!</v>
      </c>
      <c r="AG251">
        <f t="shared" si="77"/>
        <v>48620</v>
      </c>
    </row>
    <row r="252" spans="2:33" x14ac:dyDescent="0.15">
      <c r="B252" s="1">
        <f t="shared" si="91"/>
        <v>221</v>
      </c>
      <c r="C252" s="1">
        <f t="shared" si="78"/>
        <v>221</v>
      </c>
      <c r="D252" s="25">
        <v>3.6283256381007004E-2</v>
      </c>
      <c r="E252" s="2">
        <f t="shared" si="79"/>
        <v>53340.282906158485</v>
      </c>
      <c r="F252" s="3">
        <f t="shared" si="92"/>
        <v>0.04</v>
      </c>
      <c r="G252" s="2">
        <f t="shared" si="93"/>
        <v>477.4153</v>
      </c>
      <c r="H252" s="2">
        <f t="shared" si="94"/>
        <v>177.80094302052831</v>
      </c>
      <c r="I252" s="2">
        <f t="shared" si="95"/>
        <v>299.61435697947172</v>
      </c>
      <c r="J252" s="2">
        <f t="shared" si="80"/>
        <v>53040.668549179012</v>
      </c>
      <c r="K252" s="2" t="e">
        <f t="shared" si="99"/>
        <v>#VALUE!</v>
      </c>
      <c r="L252" s="9">
        <v>1.6821425527395739E-3</v>
      </c>
      <c r="M252" s="2" t="e">
        <f t="shared" si="81"/>
        <v>#VALUE!</v>
      </c>
      <c r="N252" s="3">
        <f t="shared" si="82"/>
        <v>0.04</v>
      </c>
      <c r="O252" s="2" t="e">
        <f t="shared" si="83"/>
        <v>#VALUE!</v>
      </c>
      <c r="P252" s="10">
        <f t="shared" si="75"/>
        <v>0.53040668549179015</v>
      </c>
      <c r="Q252" s="13"/>
      <c r="R252" s="2" t="e">
        <f t="shared" si="96"/>
        <v>#VALUE!</v>
      </c>
      <c r="S252" s="2" t="e">
        <f t="shared" si="97"/>
        <v>#VALUE!</v>
      </c>
      <c r="T252" s="2" t="e">
        <f t="shared" ca="1" si="84"/>
        <v>#VALUE!</v>
      </c>
      <c r="U252" s="2" t="e">
        <f t="shared" si="98"/>
        <v>#VALUE!</v>
      </c>
      <c r="V252" s="2" t="e">
        <f t="shared" si="85"/>
        <v>#VALUE!</v>
      </c>
      <c r="W252" s="2">
        <f t="shared" si="86"/>
        <v>477.4153</v>
      </c>
      <c r="X252" s="2" t="e">
        <f t="shared" ca="1" si="87"/>
        <v>#VALUE!</v>
      </c>
      <c r="Y252" s="2" t="e">
        <f t="shared" ca="1" si="88"/>
        <v>#VALUE!</v>
      </c>
      <c r="Z252" s="10">
        <f t="shared" si="89"/>
        <v>0.47929375117845269</v>
      </c>
      <c r="AA252" s="10" t="e">
        <f t="shared" ca="1" si="76"/>
        <v>#VALUE!</v>
      </c>
      <c r="AB252" s="11" t="e">
        <f t="shared" si="90"/>
        <v>#VALUE!</v>
      </c>
      <c r="AC252" s="11" t="e">
        <f>SUM($S$31:S252)/$V$31</f>
        <v>#VALUE!</v>
      </c>
      <c r="AD252" s="11" t="e">
        <f>SUM($S$31:S252,$R$31:R252,$T$31:T252)/$V$31</f>
        <v>#VALUE!</v>
      </c>
      <c r="AE252" s="11" t="e">
        <f>SUM($M$31:M252)/$V$31</f>
        <v>#VALUE!</v>
      </c>
      <c r="AF252" s="11" t="e">
        <f ca="1">SUM(SUM($M$31:M252),-SUM($T$31:T252))/$V$31</f>
        <v>#VALUE!</v>
      </c>
      <c r="AG252">
        <f t="shared" si="77"/>
        <v>49062</v>
      </c>
    </row>
    <row r="253" spans="2:33" x14ac:dyDescent="0.15">
      <c r="B253" s="1">
        <f t="shared" si="91"/>
        <v>222</v>
      </c>
      <c r="C253" s="1">
        <f t="shared" si="78"/>
        <v>222</v>
      </c>
      <c r="D253" s="25">
        <v>3.6254067862304097E-2</v>
      </c>
      <c r="E253" s="2">
        <f t="shared" si="79"/>
        <v>53040.668549179012</v>
      </c>
      <c r="F253" s="3">
        <f t="shared" si="92"/>
        <v>0.04</v>
      </c>
      <c r="G253" s="2">
        <f t="shared" si="93"/>
        <v>477.4153</v>
      </c>
      <c r="H253" s="2">
        <f t="shared" si="94"/>
        <v>176.80222849726337</v>
      </c>
      <c r="I253" s="2">
        <f t="shared" si="95"/>
        <v>300.6130715027366</v>
      </c>
      <c r="J253" s="2">
        <f t="shared" si="80"/>
        <v>52740.055477676273</v>
      </c>
      <c r="K253" s="2" t="e">
        <f t="shared" si="99"/>
        <v>#VALUE!</v>
      </c>
      <c r="L253" s="9">
        <v>1.6821425527395739E-3</v>
      </c>
      <c r="M253" s="2" t="e">
        <f t="shared" si="81"/>
        <v>#VALUE!</v>
      </c>
      <c r="N253" s="3">
        <f t="shared" si="82"/>
        <v>0.04</v>
      </c>
      <c r="O253" s="2" t="e">
        <f t="shared" si="83"/>
        <v>#VALUE!</v>
      </c>
      <c r="P253" s="10">
        <f t="shared" si="75"/>
        <v>0.52740055477676273</v>
      </c>
      <c r="Q253" s="13"/>
      <c r="R253" s="2" t="e">
        <f t="shared" si="96"/>
        <v>#VALUE!</v>
      </c>
      <c r="S253" s="2" t="e">
        <f t="shared" si="97"/>
        <v>#VALUE!</v>
      </c>
      <c r="T253" s="2" t="e">
        <f t="shared" ca="1" si="84"/>
        <v>#VALUE!</v>
      </c>
      <c r="U253" s="2" t="e">
        <f t="shared" si="98"/>
        <v>#VALUE!</v>
      </c>
      <c r="V253" s="2" t="e">
        <f t="shared" si="85"/>
        <v>#VALUE!</v>
      </c>
      <c r="W253" s="2">
        <f t="shared" si="86"/>
        <v>477.4153</v>
      </c>
      <c r="X253" s="2" t="e">
        <f t="shared" ca="1" si="87"/>
        <v>#VALUE!</v>
      </c>
      <c r="Y253" s="2" t="e">
        <f t="shared" ca="1" si="88"/>
        <v>#VALUE!</v>
      </c>
      <c r="Z253" s="10">
        <f t="shared" si="89"/>
        <v>0.4777014131350778</v>
      </c>
      <c r="AA253" s="10" t="e">
        <f t="shared" ca="1" si="76"/>
        <v>#VALUE!</v>
      </c>
      <c r="AB253" s="11" t="e">
        <f t="shared" si="90"/>
        <v>#VALUE!</v>
      </c>
      <c r="AC253" s="11" t="e">
        <f>SUM($S$31:S253)/$V$31</f>
        <v>#VALUE!</v>
      </c>
      <c r="AD253" s="11" t="e">
        <f>SUM($S$31:S253,$R$31:R253,$T$31:T253)/$V$31</f>
        <v>#VALUE!</v>
      </c>
      <c r="AE253" s="11" t="e">
        <f>SUM($M$31:M253)/$V$31</f>
        <v>#VALUE!</v>
      </c>
      <c r="AF253" s="11" t="e">
        <f ca="1">SUM(SUM($M$31:M253),-SUM($T$31:T253))/$V$31</f>
        <v>#VALUE!</v>
      </c>
      <c r="AG253">
        <f t="shared" si="77"/>
        <v>49506</v>
      </c>
    </row>
    <row r="254" spans="2:33" x14ac:dyDescent="0.15">
      <c r="B254" s="1">
        <f t="shared" si="91"/>
        <v>223</v>
      </c>
      <c r="C254" s="1">
        <f t="shared" si="78"/>
        <v>223</v>
      </c>
      <c r="D254" s="25">
        <v>3.6223185508609299E-2</v>
      </c>
      <c r="E254" s="2">
        <f t="shared" si="79"/>
        <v>52740.055477676273</v>
      </c>
      <c r="F254" s="3">
        <f t="shared" si="92"/>
        <v>0.04</v>
      </c>
      <c r="G254" s="2">
        <f t="shared" si="93"/>
        <v>477.4153</v>
      </c>
      <c r="H254" s="2">
        <f t="shared" si="94"/>
        <v>175.80018492558759</v>
      </c>
      <c r="I254" s="2">
        <f t="shared" si="95"/>
        <v>301.61511507441242</v>
      </c>
      <c r="J254" s="2">
        <f t="shared" si="80"/>
        <v>52438.440362601861</v>
      </c>
      <c r="K254" s="2" t="e">
        <f t="shared" si="99"/>
        <v>#VALUE!</v>
      </c>
      <c r="L254" s="9">
        <v>1.6821425527395739E-3</v>
      </c>
      <c r="M254" s="2" t="e">
        <f t="shared" si="81"/>
        <v>#VALUE!</v>
      </c>
      <c r="N254" s="3">
        <f t="shared" si="82"/>
        <v>0.04</v>
      </c>
      <c r="O254" s="2" t="e">
        <f t="shared" si="83"/>
        <v>#VALUE!</v>
      </c>
      <c r="P254" s="10">
        <f t="shared" si="75"/>
        <v>0.52438440362601857</v>
      </c>
      <c r="Q254" s="13"/>
      <c r="R254" s="2" t="e">
        <f t="shared" si="96"/>
        <v>#VALUE!</v>
      </c>
      <c r="S254" s="2" t="e">
        <f t="shared" si="97"/>
        <v>#VALUE!</v>
      </c>
      <c r="T254" s="2" t="e">
        <f t="shared" ca="1" si="84"/>
        <v>#VALUE!</v>
      </c>
      <c r="U254" s="2" t="e">
        <f t="shared" si="98"/>
        <v>#VALUE!</v>
      </c>
      <c r="V254" s="2" t="e">
        <f t="shared" si="85"/>
        <v>#VALUE!</v>
      </c>
      <c r="W254" s="2">
        <f t="shared" si="86"/>
        <v>477.4153</v>
      </c>
      <c r="X254" s="2" t="e">
        <f t="shared" ca="1" si="87"/>
        <v>#VALUE!</v>
      </c>
      <c r="Y254" s="2" t="e">
        <f t="shared" ca="1" si="88"/>
        <v>#VALUE!</v>
      </c>
      <c r="Z254" s="10">
        <f t="shared" si="89"/>
        <v>0.47611436525131429</v>
      </c>
      <c r="AA254" s="10" t="e">
        <f t="shared" ca="1" si="76"/>
        <v>#VALUE!</v>
      </c>
      <c r="AB254" s="11" t="e">
        <f t="shared" si="90"/>
        <v>#VALUE!</v>
      </c>
      <c r="AC254" s="11" t="e">
        <f>SUM($S$31:S254)/$V$31</f>
        <v>#VALUE!</v>
      </c>
      <c r="AD254" s="11" t="e">
        <f>SUM($S$31:S254,$R$31:R254,$T$31:T254)/$V$31</f>
        <v>#VALUE!</v>
      </c>
      <c r="AE254" s="11" t="e">
        <f>SUM($M$31:M254)/$V$31</f>
        <v>#VALUE!</v>
      </c>
      <c r="AF254" s="11" t="e">
        <f ca="1">SUM(SUM($M$31:M254),-SUM($T$31:T254))/$V$31</f>
        <v>#VALUE!</v>
      </c>
      <c r="AG254">
        <f t="shared" si="77"/>
        <v>49952</v>
      </c>
    </row>
    <row r="255" spans="2:33" x14ac:dyDescent="0.15">
      <c r="B255" s="1">
        <f t="shared" si="91"/>
        <v>224</v>
      </c>
      <c r="C255" s="1">
        <f t="shared" si="78"/>
        <v>224</v>
      </c>
      <c r="D255" s="25">
        <v>3.6191614783340202E-2</v>
      </c>
      <c r="E255" s="2">
        <f t="shared" si="79"/>
        <v>52438.440362601861</v>
      </c>
      <c r="F255" s="3">
        <f t="shared" si="92"/>
        <v>0.04</v>
      </c>
      <c r="G255" s="2">
        <f t="shared" si="93"/>
        <v>477.4153</v>
      </c>
      <c r="H255" s="2">
        <f t="shared" si="94"/>
        <v>174.79480120867288</v>
      </c>
      <c r="I255" s="2">
        <f t="shared" si="95"/>
        <v>302.62049879132712</v>
      </c>
      <c r="J255" s="2">
        <f t="shared" si="80"/>
        <v>52135.819863810531</v>
      </c>
      <c r="K255" s="2" t="e">
        <f t="shared" si="99"/>
        <v>#VALUE!</v>
      </c>
      <c r="L255" s="9">
        <v>1.6821425527395739E-3</v>
      </c>
      <c r="M255" s="2" t="e">
        <f t="shared" si="81"/>
        <v>#VALUE!</v>
      </c>
      <c r="N255" s="3">
        <f t="shared" si="82"/>
        <v>0.04</v>
      </c>
      <c r="O255" s="2" t="e">
        <f t="shared" si="83"/>
        <v>#VALUE!</v>
      </c>
      <c r="P255" s="10">
        <f t="shared" si="75"/>
        <v>0.52135819863810529</v>
      </c>
      <c r="Q255" s="13"/>
      <c r="R255" s="2" t="e">
        <f t="shared" si="96"/>
        <v>#VALUE!</v>
      </c>
      <c r="S255" s="2" t="e">
        <f t="shared" si="97"/>
        <v>#VALUE!</v>
      </c>
      <c r="T255" s="2" t="e">
        <f t="shared" ca="1" si="84"/>
        <v>#VALUE!</v>
      </c>
      <c r="U255" s="2" t="e">
        <f t="shared" si="98"/>
        <v>#VALUE!</v>
      </c>
      <c r="V255" s="2" t="e">
        <f t="shared" si="85"/>
        <v>#VALUE!</v>
      </c>
      <c r="W255" s="2">
        <f t="shared" si="86"/>
        <v>477.4153</v>
      </c>
      <c r="X255" s="2" t="e">
        <f t="shared" ca="1" si="87"/>
        <v>#VALUE!</v>
      </c>
      <c r="Y255" s="2" t="e">
        <f t="shared" ca="1" si="88"/>
        <v>#VALUE!</v>
      </c>
      <c r="Z255" s="10">
        <f t="shared" si="89"/>
        <v>0.47453258995188069</v>
      </c>
      <c r="AA255" s="10" t="e">
        <f t="shared" ca="1" si="76"/>
        <v>#VALUE!</v>
      </c>
      <c r="AB255" s="11" t="e">
        <f t="shared" si="90"/>
        <v>#VALUE!</v>
      </c>
      <c r="AC255" s="11" t="e">
        <f>SUM($S$31:S255)/$V$31</f>
        <v>#VALUE!</v>
      </c>
      <c r="AD255" s="11" t="e">
        <f>SUM($S$31:S255,$R$31:R255,$T$31:T255)/$V$31</f>
        <v>#VALUE!</v>
      </c>
      <c r="AE255" s="11" t="e">
        <f>SUM($M$31:M255)/$V$31</f>
        <v>#VALUE!</v>
      </c>
      <c r="AF255" s="11" t="e">
        <f ca="1">SUM(SUM($M$31:M255),-SUM($T$31:T255))/$V$31</f>
        <v>#VALUE!</v>
      </c>
      <c r="AG255">
        <f t="shared" si="77"/>
        <v>50400</v>
      </c>
    </row>
    <row r="256" spans="2:33" x14ac:dyDescent="0.15">
      <c r="B256" s="1">
        <f t="shared" si="91"/>
        <v>225</v>
      </c>
      <c r="C256" s="1">
        <f t="shared" si="78"/>
        <v>225</v>
      </c>
      <c r="D256" s="25">
        <v>3.6164372294410899E-2</v>
      </c>
      <c r="E256" s="2">
        <f t="shared" si="79"/>
        <v>52135.819863810531</v>
      </c>
      <c r="F256" s="3">
        <f t="shared" si="92"/>
        <v>0.04</v>
      </c>
      <c r="G256" s="2">
        <f t="shared" si="93"/>
        <v>477.4153</v>
      </c>
      <c r="H256" s="2">
        <f t="shared" si="94"/>
        <v>173.78606621270177</v>
      </c>
      <c r="I256" s="2">
        <f t="shared" si="95"/>
        <v>303.62923378729823</v>
      </c>
      <c r="J256" s="2">
        <f t="shared" si="80"/>
        <v>51832.190630023237</v>
      </c>
      <c r="K256" s="2" t="e">
        <f t="shared" si="99"/>
        <v>#VALUE!</v>
      </c>
      <c r="L256" s="9">
        <v>1.6821425527395739E-3</v>
      </c>
      <c r="M256" s="2" t="e">
        <f t="shared" si="81"/>
        <v>#VALUE!</v>
      </c>
      <c r="N256" s="3">
        <f t="shared" si="82"/>
        <v>0.04</v>
      </c>
      <c r="O256" s="2" t="e">
        <f t="shared" si="83"/>
        <v>#VALUE!</v>
      </c>
      <c r="P256" s="10">
        <f t="shared" si="75"/>
        <v>0.51832190630023234</v>
      </c>
      <c r="Q256" s="13"/>
      <c r="R256" s="2" t="e">
        <f t="shared" si="96"/>
        <v>#VALUE!</v>
      </c>
      <c r="S256" s="2" t="e">
        <f t="shared" si="97"/>
        <v>#VALUE!</v>
      </c>
      <c r="T256" s="2" t="e">
        <f t="shared" ca="1" si="84"/>
        <v>#VALUE!</v>
      </c>
      <c r="U256" s="2" t="e">
        <f t="shared" si="98"/>
        <v>#VALUE!</v>
      </c>
      <c r="V256" s="2" t="e">
        <f t="shared" si="85"/>
        <v>#VALUE!</v>
      </c>
      <c r="W256" s="2">
        <f t="shared" si="86"/>
        <v>477.4153</v>
      </c>
      <c r="X256" s="2" t="e">
        <f t="shared" ca="1" si="87"/>
        <v>#VALUE!</v>
      </c>
      <c r="Y256" s="2" t="e">
        <f t="shared" ca="1" si="88"/>
        <v>#VALUE!</v>
      </c>
      <c r="Z256" s="10">
        <f t="shared" si="89"/>
        <v>0.47295606971988574</v>
      </c>
      <c r="AA256" s="10" t="e">
        <f t="shared" ca="1" si="76"/>
        <v>#VALUE!</v>
      </c>
      <c r="AB256" s="11" t="e">
        <f t="shared" si="90"/>
        <v>#VALUE!</v>
      </c>
      <c r="AC256" s="11" t="e">
        <f>SUM($S$31:S256)/$V$31</f>
        <v>#VALUE!</v>
      </c>
      <c r="AD256" s="11" t="e">
        <f>SUM($S$31:S256,$R$31:R256,$T$31:T256)/$V$31</f>
        <v>#VALUE!</v>
      </c>
      <c r="AE256" s="11" t="e">
        <f>SUM($M$31:M256)/$V$31</f>
        <v>#VALUE!</v>
      </c>
      <c r="AF256" s="11" t="e">
        <f ca="1">SUM(SUM($M$31:M256),-SUM($T$31:T256))/$V$31</f>
        <v>#VALUE!</v>
      </c>
      <c r="AG256">
        <f t="shared" si="77"/>
        <v>50850</v>
      </c>
    </row>
    <row r="257" spans="2:33" x14ac:dyDescent="0.15">
      <c r="B257" s="1">
        <f t="shared" si="91"/>
        <v>226</v>
      </c>
      <c r="C257" s="1">
        <f t="shared" si="78"/>
        <v>226</v>
      </c>
      <c r="D257" s="25">
        <v>3.6134103800349801E-2</v>
      </c>
      <c r="E257" s="2">
        <f t="shared" si="79"/>
        <v>51832.190630023237</v>
      </c>
      <c r="F257" s="3">
        <f t="shared" si="92"/>
        <v>0.04</v>
      </c>
      <c r="G257" s="2">
        <f t="shared" si="93"/>
        <v>477.4153</v>
      </c>
      <c r="H257" s="2">
        <f t="shared" si="94"/>
        <v>172.77396876674413</v>
      </c>
      <c r="I257" s="2">
        <f t="shared" si="95"/>
        <v>304.64133123325587</v>
      </c>
      <c r="J257" s="2">
        <f t="shared" si="80"/>
        <v>51527.549298789978</v>
      </c>
      <c r="K257" s="2" t="e">
        <f t="shared" si="99"/>
        <v>#VALUE!</v>
      </c>
      <c r="L257" s="9">
        <v>1.6821425527395739E-3</v>
      </c>
      <c r="M257" s="2" t="e">
        <f t="shared" si="81"/>
        <v>#VALUE!</v>
      </c>
      <c r="N257" s="3">
        <f t="shared" si="82"/>
        <v>0.04</v>
      </c>
      <c r="O257" s="2" t="e">
        <f t="shared" si="83"/>
        <v>#VALUE!</v>
      </c>
      <c r="P257" s="10">
        <f t="shared" si="75"/>
        <v>0.51527549298789976</v>
      </c>
      <c r="Q257" s="13"/>
      <c r="R257" s="2" t="e">
        <f t="shared" si="96"/>
        <v>#VALUE!</v>
      </c>
      <c r="S257" s="2" t="e">
        <f t="shared" si="97"/>
        <v>#VALUE!</v>
      </c>
      <c r="T257" s="2" t="e">
        <f t="shared" ca="1" si="84"/>
        <v>#VALUE!</v>
      </c>
      <c r="U257" s="2" t="e">
        <f t="shared" si="98"/>
        <v>#VALUE!</v>
      </c>
      <c r="V257" s="2" t="e">
        <f t="shared" si="85"/>
        <v>#VALUE!</v>
      </c>
      <c r="W257" s="2">
        <f t="shared" si="86"/>
        <v>477.4153</v>
      </c>
      <c r="X257" s="2" t="e">
        <f t="shared" ca="1" si="87"/>
        <v>#VALUE!</v>
      </c>
      <c r="Y257" s="2" t="e">
        <f t="shared" ca="1" si="88"/>
        <v>#VALUE!</v>
      </c>
      <c r="Z257" s="10">
        <f t="shared" si="89"/>
        <v>0.47138478709663367</v>
      </c>
      <c r="AA257" s="10" t="e">
        <f t="shared" ca="1" si="76"/>
        <v>#VALUE!</v>
      </c>
      <c r="AB257" s="11" t="e">
        <f t="shared" si="90"/>
        <v>#VALUE!</v>
      </c>
      <c r="AC257" s="11" t="e">
        <f>SUM($S$31:S257)/$V$31</f>
        <v>#VALUE!</v>
      </c>
      <c r="AD257" s="11" t="e">
        <f>SUM($S$31:S257,$R$31:R257,$T$31:T257)/$V$31</f>
        <v>#VALUE!</v>
      </c>
      <c r="AE257" s="11" t="e">
        <f>SUM($M$31:M257)/$V$31</f>
        <v>#VALUE!</v>
      </c>
      <c r="AF257" s="11" t="e">
        <f ca="1">SUM(SUM($M$31:M257),-SUM($T$31:T257))/$V$31</f>
        <v>#VALUE!</v>
      </c>
      <c r="AG257">
        <f t="shared" si="77"/>
        <v>51302</v>
      </c>
    </row>
    <row r="258" spans="2:33" x14ac:dyDescent="0.15">
      <c r="B258" s="1">
        <f t="shared" si="91"/>
        <v>227</v>
      </c>
      <c r="C258" s="1">
        <f t="shared" si="78"/>
        <v>227</v>
      </c>
      <c r="D258" s="25">
        <v>3.6108151929784602E-2</v>
      </c>
      <c r="E258" s="2">
        <f t="shared" si="79"/>
        <v>51527.549298789978</v>
      </c>
      <c r="F258" s="3">
        <f t="shared" si="92"/>
        <v>0.04</v>
      </c>
      <c r="G258" s="2">
        <f t="shared" si="93"/>
        <v>477.4153</v>
      </c>
      <c r="H258" s="2">
        <f t="shared" si="94"/>
        <v>171.75849766263326</v>
      </c>
      <c r="I258" s="2">
        <f t="shared" si="95"/>
        <v>305.65680233736674</v>
      </c>
      <c r="J258" s="2">
        <f t="shared" si="80"/>
        <v>51221.892496452609</v>
      </c>
      <c r="K258" s="2" t="e">
        <f t="shared" si="99"/>
        <v>#VALUE!</v>
      </c>
      <c r="L258" s="9">
        <v>1.6821425527395739E-3</v>
      </c>
      <c r="M258" s="2" t="e">
        <f t="shared" si="81"/>
        <v>#VALUE!</v>
      </c>
      <c r="N258" s="3">
        <f t="shared" si="82"/>
        <v>0.04</v>
      </c>
      <c r="O258" s="2" t="e">
        <f t="shared" si="83"/>
        <v>#VALUE!</v>
      </c>
      <c r="P258" s="10">
        <f t="shared" si="75"/>
        <v>0.51221892496452603</v>
      </c>
      <c r="Q258" s="13"/>
      <c r="R258" s="2" t="e">
        <f t="shared" si="96"/>
        <v>#VALUE!</v>
      </c>
      <c r="S258" s="2" t="e">
        <f t="shared" si="97"/>
        <v>#VALUE!</v>
      </c>
      <c r="T258" s="2" t="e">
        <f t="shared" ca="1" si="84"/>
        <v>#VALUE!</v>
      </c>
      <c r="U258" s="2" t="e">
        <f t="shared" si="98"/>
        <v>#VALUE!</v>
      </c>
      <c r="V258" s="2" t="e">
        <f t="shared" si="85"/>
        <v>#VALUE!</v>
      </c>
      <c r="W258" s="2">
        <f t="shared" si="86"/>
        <v>477.4153</v>
      </c>
      <c r="X258" s="2" t="e">
        <f t="shared" ca="1" si="87"/>
        <v>#VALUE!</v>
      </c>
      <c r="Y258" s="2" t="e">
        <f t="shared" ca="1" si="88"/>
        <v>#VALUE!</v>
      </c>
      <c r="Z258" s="10">
        <f t="shared" si="89"/>
        <v>0.46981872468143093</v>
      </c>
      <c r="AA258" s="10" t="e">
        <f t="shared" ca="1" si="76"/>
        <v>#VALUE!</v>
      </c>
      <c r="AB258" s="11" t="e">
        <f t="shared" si="90"/>
        <v>#VALUE!</v>
      </c>
      <c r="AC258" s="11" t="e">
        <f>SUM($S$31:S258)/$V$31</f>
        <v>#VALUE!</v>
      </c>
      <c r="AD258" s="11" t="e">
        <f>SUM($S$31:S258,$R$31:R258,$T$31:T258)/$V$31</f>
        <v>#VALUE!</v>
      </c>
      <c r="AE258" s="11" t="e">
        <f>SUM($M$31:M258)/$V$31</f>
        <v>#VALUE!</v>
      </c>
      <c r="AF258" s="11" t="e">
        <f ca="1">SUM(SUM($M$31:M258),-SUM($T$31:T258))/$V$31</f>
        <v>#VALUE!</v>
      </c>
      <c r="AG258">
        <f t="shared" si="77"/>
        <v>51756</v>
      </c>
    </row>
    <row r="259" spans="2:33" x14ac:dyDescent="0.15">
      <c r="B259" s="1">
        <f t="shared" si="91"/>
        <v>228</v>
      </c>
      <c r="C259" s="1">
        <f t="shared" si="78"/>
        <v>228</v>
      </c>
      <c r="D259" s="25">
        <v>3.6080574571268904E-2</v>
      </c>
      <c r="E259" s="2">
        <f t="shared" si="79"/>
        <v>51221.892496452609</v>
      </c>
      <c r="F259" s="3">
        <f t="shared" si="92"/>
        <v>0.04</v>
      </c>
      <c r="G259" s="2">
        <f t="shared" si="93"/>
        <v>477.4153</v>
      </c>
      <c r="H259" s="2">
        <f t="shared" si="94"/>
        <v>170.73964165484205</v>
      </c>
      <c r="I259" s="2">
        <f t="shared" si="95"/>
        <v>306.67565834515796</v>
      </c>
      <c r="J259" s="2">
        <f t="shared" si="80"/>
        <v>50915.216838107452</v>
      </c>
      <c r="K259" s="2" t="e">
        <f t="shared" si="99"/>
        <v>#VALUE!</v>
      </c>
      <c r="L259" s="9">
        <v>1.6821425527395739E-3</v>
      </c>
      <c r="M259" s="2" t="e">
        <f t="shared" si="81"/>
        <v>#VALUE!</v>
      </c>
      <c r="N259" s="3">
        <f t="shared" si="82"/>
        <v>0.04</v>
      </c>
      <c r="O259" s="2" t="e">
        <f t="shared" si="83"/>
        <v>#VALUE!</v>
      </c>
      <c r="P259" s="10">
        <f t="shared" si="75"/>
        <v>0.50915216838107447</v>
      </c>
      <c r="Q259" s="13"/>
      <c r="R259" s="2" t="e">
        <f t="shared" si="96"/>
        <v>#VALUE!</v>
      </c>
      <c r="S259" s="2" t="e">
        <f t="shared" si="97"/>
        <v>#VALUE!</v>
      </c>
      <c r="T259" s="2" t="e">
        <f t="shared" ca="1" si="84"/>
        <v>#VALUE!</v>
      </c>
      <c r="U259" s="2" t="e">
        <f t="shared" si="98"/>
        <v>#VALUE!</v>
      </c>
      <c r="V259" s="2" t="e">
        <f t="shared" si="85"/>
        <v>#VALUE!</v>
      </c>
      <c r="W259" s="2">
        <f t="shared" si="86"/>
        <v>477.4153</v>
      </c>
      <c r="X259" s="2" t="e">
        <f t="shared" ca="1" si="87"/>
        <v>#VALUE!</v>
      </c>
      <c r="Y259" s="2" t="e">
        <f t="shared" ca="1" si="88"/>
        <v>#VALUE!</v>
      </c>
      <c r="Z259" s="10">
        <f t="shared" si="89"/>
        <v>0.46825786513139372</v>
      </c>
      <c r="AA259" s="10" t="e">
        <f t="shared" ca="1" si="76"/>
        <v>#VALUE!</v>
      </c>
      <c r="AB259" s="11" t="e">
        <f t="shared" si="90"/>
        <v>#VALUE!</v>
      </c>
      <c r="AC259" s="11" t="e">
        <f>SUM($S$31:S259)/$V$31</f>
        <v>#VALUE!</v>
      </c>
      <c r="AD259" s="11" t="e">
        <f>SUM($S$31:S259,$R$31:R259,$T$31:T259)/$V$31</f>
        <v>#VALUE!</v>
      </c>
      <c r="AE259" s="11" t="e">
        <f>SUM($M$31:M259)/$V$31</f>
        <v>#VALUE!</v>
      </c>
      <c r="AF259" s="11" t="e">
        <f ca="1">SUM(SUM($M$31:M259),-SUM($T$31:T259))/$V$31</f>
        <v>#VALUE!</v>
      </c>
      <c r="AG259">
        <f t="shared" si="77"/>
        <v>52212</v>
      </c>
    </row>
    <row r="260" spans="2:33" x14ac:dyDescent="0.15">
      <c r="B260" s="1">
        <f t="shared" si="91"/>
        <v>229</v>
      </c>
      <c r="C260" s="1">
        <f t="shared" si="78"/>
        <v>229</v>
      </c>
      <c r="D260" s="25">
        <v>3.6050872534850301E-2</v>
      </c>
      <c r="E260" s="2">
        <f t="shared" si="79"/>
        <v>50915.216838107452</v>
      </c>
      <c r="F260" s="3">
        <f t="shared" si="92"/>
        <v>0.04</v>
      </c>
      <c r="G260" s="2">
        <f t="shared" si="93"/>
        <v>477.4153</v>
      </c>
      <c r="H260" s="2">
        <f t="shared" si="94"/>
        <v>169.71738946035819</v>
      </c>
      <c r="I260" s="2">
        <f t="shared" si="95"/>
        <v>307.69791053964184</v>
      </c>
      <c r="J260" s="2">
        <f t="shared" si="80"/>
        <v>50607.518927567813</v>
      </c>
      <c r="K260" s="2" t="e">
        <f t="shared" si="99"/>
        <v>#VALUE!</v>
      </c>
      <c r="L260" s="9">
        <v>1.6821425527395739E-3</v>
      </c>
      <c r="M260" s="2" t="e">
        <f t="shared" si="81"/>
        <v>#VALUE!</v>
      </c>
      <c r="N260" s="3">
        <f t="shared" si="82"/>
        <v>0.04</v>
      </c>
      <c r="O260" s="2" t="e">
        <f t="shared" si="83"/>
        <v>#VALUE!</v>
      </c>
      <c r="P260" s="10">
        <f t="shared" si="75"/>
        <v>0.50607518927567818</v>
      </c>
      <c r="Q260" s="13"/>
      <c r="R260" s="2" t="e">
        <f t="shared" si="96"/>
        <v>#VALUE!</v>
      </c>
      <c r="S260" s="2" t="e">
        <f t="shared" si="97"/>
        <v>#VALUE!</v>
      </c>
      <c r="T260" s="2" t="e">
        <f t="shared" ca="1" si="84"/>
        <v>#VALUE!</v>
      </c>
      <c r="U260" s="2" t="e">
        <f t="shared" si="98"/>
        <v>#VALUE!</v>
      </c>
      <c r="V260" s="2" t="e">
        <f t="shared" si="85"/>
        <v>#VALUE!</v>
      </c>
      <c r="W260" s="2">
        <f t="shared" si="86"/>
        <v>477.4153</v>
      </c>
      <c r="X260" s="2" t="e">
        <f t="shared" ca="1" si="87"/>
        <v>#VALUE!</v>
      </c>
      <c r="Y260" s="2" t="e">
        <f t="shared" ca="1" si="88"/>
        <v>#VALUE!</v>
      </c>
      <c r="Z260" s="10">
        <f t="shared" si="89"/>
        <v>0.4667021911612555</v>
      </c>
      <c r="AA260" s="10" t="e">
        <f t="shared" ca="1" si="76"/>
        <v>#VALUE!</v>
      </c>
      <c r="AB260" s="11" t="e">
        <f t="shared" si="90"/>
        <v>#VALUE!</v>
      </c>
      <c r="AC260" s="11" t="e">
        <f>SUM($S$31:S260)/$V$31</f>
        <v>#VALUE!</v>
      </c>
      <c r="AD260" s="11" t="e">
        <f>SUM($S$31:S260,$R$31:R260,$T$31:T260)/$V$31</f>
        <v>#VALUE!</v>
      </c>
      <c r="AE260" s="11" t="e">
        <f>SUM($M$31:M260)/$V$31</f>
        <v>#VALUE!</v>
      </c>
      <c r="AF260" s="11" t="e">
        <f ca="1">SUM(SUM($M$31:M260),-SUM($T$31:T260))/$V$31</f>
        <v>#VALUE!</v>
      </c>
      <c r="AG260">
        <f t="shared" si="77"/>
        <v>52670</v>
      </c>
    </row>
    <row r="261" spans="2:33" x14ac:dyDescent="0.15">
      <c r="B261" s="1">
        <f t="shared" si="91"/>
        <v>230</v>
      </c>
      <c r="C261" s="1">
        <f t="shared" si="78"/>
        <v>230</v>
      </c>
      <c r="D261" s="25">
        <v>3.6029101299075397E-2</v>
      </c>
      <c r="E261" s="2">
        <f t="shared" si="79"/>
        <v>50607.518927567813</v>
      </c>
      <c r="F261" s="3">
        <f t="shared" si="92"/>
        <v>0.04</v>
      </c>
      <c r="G261" s="2">
        <f t="shared" si="93"/>
        <v>477.4153</v>
      </c>
      <c r="H261" s="2">
        <f t="shared" si="94"/>
        <v>168.69172975855938</v>
      </c>
      <c r="I261" s="2">
        <f t="shared" si="95"/>
        <v>308.7235702414406</v>
      </c>
      <c r="J261" s="2">
        <f t="shared" si="80"/>
        <v>50298.795357326373</v>
      </c>
      <c r="K261" s="2" t="e">
        <f t="shared" si="99"/>
        <v>#VALUE!</v>
      </c>
      <c r="L261" s="9">
        <v>1.6821425527395739E-3</v>
      </c>
      <c r="M261" s="2" t="e">
        <f t="shared" si="81"/>
        <v>#VALUE!</v>
      </c>
      <c r="N261" s="3">
        <f t="shared" si="82"/>
        <v>0.04</v>
      </c>
      <c r="O261" s="2" t="e">
        <f t="shared" si="83"/>
        <v>#VALUE!</v>
      </c>
      <c r="P261" s="10">
        <f t="shared" si="75"/>
        <v>0.50298795357326376</v>
      </c>
      <c r="Q261" s="13"/>
      <c r="R261" s="2" t="e">
        <f t="shared" si="96"/>
        <v>#VALUE!</v>
      </c>
      <c r="S261" s="2" t="e">
        <f t="shared" si="97"/>
        <v>#VALUE!</v>
      </c>
      <c r="T261" s="2" t="e">
        <f t="shared" ca="1" si="84"/>
        <v>#VALUE!</v>
      </c>
      <c r="U261" s="2" t="e">
        <f t="shared" si="98"/>
        <v>#VALUE!</v>
      </c>
      <c r="V261" s="2" t="e">
        <f t="shared" si="85"/>
        <v>#VALUE!</v>
      </c>
      <c r="W261" s="2">
        <f t="shared" si="86"/>
        <v>477.4153</v>
      </c>
      <c r="X261" s="2" t="e">
        <f t="shared" ca="1" si="87"/>
        <v>#VALUE!</v>
      </c>
      <c r="Y261" s="2" t="e">
        <f t="shared" ca="1" si="88"/>
        <v>#VALUE!</v>
      </c>
      <c r="Z261" s="10">
        <f t="shared" si="89"/>
        <v>0.46515168554317621</v>
      </c>
      <c r="AA261" s="10" t="e">
        <f t="shared" ca="1" si="76"/>
        <v>#VALUE!</v>
      </c>
      <c r="AB261" s="11" t="e">
        <f t="shared" si="90"/>
        <v>#VALUE!</v>
      </c>
      <c r="AC261" s="11" t="e">
        <f>SUM($S$31:S261)/$V$31</f>
        <v>#VALUE!</v>
      </c>
      <c r="AD261" s="11" t="e">
        <f>SUM($S$31:S261,$R$31:R261,$T$31:T261)/$V$31</f>
        <v>#VALUE!</v>
      </c>
      <c r="AE261" s="11" t="e">
        <f>SUM($M$31:M261)/$V$31</f>
        <v>#VALUE!</v>
      </c>
      <c r="AF261" s="11" t="e">
        <f ca="1">SUM(SUM($M$31:M261),-SUM($T$31:T261))/$V$31</f>
        <v>#VALUE!</v>
      </c>
      <c r="AG261">
        <f t="shared" si="77"/>
        <v>53130</v>
      </c>
    </row>
    <row r="262" spans="2:33" x14ac:dyDescent="0.15">
      <c r="B262" s="1">
        <f t="shared" si="91"/>
        <v>231</v>
      </c>
      <c r="C262" s="1">
        <f t="shared" si="78"/>
        <v>231</v>
      </c>
      <c r="D262" s="25">
        <v>3.6002076455851004E-2</v>
      </c>
      <c r="E262" s="2">
        <f t="shared" si="79"/>
        <v>50298.795357326373</v>
      </c>
      <c r="F262" s="3">
        <f t="shared" si="92"/>
        <v>0.04</v>
      </c>
      <c r="G262" s="2">
        <f t="shared" si="93"/>
        <v>477.4153</v>
      </c>
      <c r="H262" s="2">
        <f t="shared" si="94"/>
        <v>167.66265119108792</v>
      </c>
      <c r="I262" s="2">
        <f t="shared" si="95"/>
        <v>309.75264880891211</v>
      </c>
      <c r="J262" s="2">
        <f t="shared" si="80"/>
        <v>49989.04270851746</v>
      </c>
      <c r="K262" s="2" t="e">
        <f t="shared" si="99"/>
        <v>#VALUE!</v>
      </c>
      <c r="L262" s="9">
        <v>1.6821425527395739E-3</v>
      </c>
      <c r="M262" s="2" t="e">
        <f t="shared" si="81"/>
        <v>#VALUE!</v>
      </c>
      <c r="N262" s="3">
        <f t="shared" si="82"/>
        <v>0.04</v>
      </c>
      <c r="O262" s="2" t="e">
        <f t="shared" si="83"/>
        <v>#VALUE!</v>
      </c>
      <c r="P262" s="10">
        <f t="shared" si="75"/>
        <v>0.49989042708517462</v>
      </c>
      <c r="Q262" s="13"/>
      <c r="R262" s="2" t="e">
        <f t="shared" si="96"/>
        <v>#VALUE!</v>
      </c>
      <c r="S262" s="2" t="e">
        <f t="shared" si="97"/>
        <v>#VALUE!</v>
      </c>
      <c r="T262" s="2" t="e">
        <f t="shared" ca="1" si="84"/>
        <v>#VALUE!</v>
      </c>
      <c r="U262" s="2" t="e">
        <f t="shared" si="98"/>
        <v>#VALUE!</v>
      </c>
      <c r="V262" s="2" t="e">
        <f t="shared" si="85"/>
        <v>#VALUE!</v>
      </c>
      <c r="W262" s="2">
        <f t="shared" si="86"/>
        <v>477.4153</v>
      </c>
      <c r="X262" s="2" t="e">
        <f t="shared" ca="1" si="87"/>
        <v>#VALUE!</v>
      </c>
      <c r="Y262" s="2" t="e">
        <f t="shared" ca="1" si="88"/>
        <v>#VALUE!</v>
      </c>
      <c r="Z262" s="10">
        <f t="shared" si="89"/>
        <v>0.46360633110655103</v>
      </c>
      <c r="AA262" s="10" t="e">
        <f t="shared" ca="1" si="76"/>
        <v>#VALUE!</v>
      </c>
      <c r="AB262" s="11" t="e">
        <f t="shared" si="90"/>
        <v>#VALUE!</v>
      </c>
      <c r="AC262" s="11" t="e">
        <f>SUM($S$31:S262)/$V$31</f>
        <v>#VALUE!</v>
      </c>
      <c r="AD262" s="11" t="e">
        <f>SUM($S$31:S262,$R$31:R262,$T$31:T262)/$V$31</f>
        <v>#VALUE!</v>
      </c>
      <c r="AE262" s="11" t="e">
        <f>SUM($M$31:M262)/$V$31</f>
        <v>#VALUE!</v>
      </c>
      <c r="AF262" s="11" t="e">
        <f ca="1">SUM(SUM($M$31:M262),-SUM($T$31:T262))/$V$31</f>
        <v>#VALUE!</v>
      </c>
      <c r="AG262">
        <f t="shared" si="77"/>
        <v>53592</v>
      </c>
    </row>
    <row r="263" spans="2:33" x14ac:dyDescent="0.15">
      <c r="B263" s="1">
        <f t="shared" si="91"/>
        <v>232</v>
      </c>
      <c r="C263" s="1">
        <f t="shared" si="78"/>
        <v>232</v>
      </c>
      <c r="D263" s="25">
        <v>3.5979341645949098E-2</v>
      </c>
      <c r="E263" s="2">
        <f t="shared" si="79"/>
        <v>49989.04270851746</v>
      </c>
      <c r="F263" s="3">
        <f t="shared" si="92"/>
        <v>0.04</v>
      </c>
      <c r="G263" s="2">
        <f t="shared" si="93"/>
        <v>477.4153</v>
      </c>
      <c r="H263" s="2">
        <f t="shared" si="94"/>
        <v>166.63014236172486</v>
      </c>
      <c r="I263" s="2">
        <f t="shared" si="95"/>
        <v>310.78515763827511</v>
      </c>
      <c r="J263" s="2">
        <f t="shared" si="80"/>
        <v>49678.257550879185</v>
      </c>
      <c r="K263" s="2" t="e">
        <f t="shared" si="99"/>
        <v>#VALUE!</v>
      </c>
      <c r="L263" s="9">
        <v>1.6821425527395739E-3</v>
      </c>
      <c r="M263" s="2" t="e">
        <f t="shared" si="81"/>
        <v>#VALUE!</v>
      </c>
      <c r="N263" s="3">
        <f t="shared" si="82"/>
        <v>0.04</v>
      </c>
      <c r="O263" s="2" t="e">
        <f t="shared" si="83"/>
        <v>#VALUE!</v>
      </c>
      <c r="P263" s="10">
        <f t="shared" si="75"/>
        <v>0.49678257550879185</v>
      </c>
      <c r="Q263" s="13"/>
      <c r="R263" s="2" t="e">
        <f t="shared" si="96"/>
        <v>#VALUE!</v>
      </c>
      <c r="S263" s="2" t="e">
        <f t="shared" si="97"/>
        <v>#VALUE!</v>
      </c>
      <c r="T263" s="2" t="e">
        <f t="shared" ca="1" si="84"/>
        <v>#VALUE!</v>
      </c>
      <c r="U263" s="2" t="e">
        <f t="shared" si="98"/>
        <v>#VALUE!</v>
      </c>
      <c r="V263" s="2" t="e">
        <f t="shared" si="85"/>
        <v>#VALUE!</v>
      </c>
      <c r="W263" s="2">
        <f t="shared" si="86"/>
        <v>477.4153</v>
      </c>
      <c r="X263" s="2" t="e">
        <f t="shared" ca="1" si="87"/>
        <v>#VALUE!</v>
      </c>
      <c r="Y263" s="2" t="e">
        <f t="shared" ca="1" si="88"/>
        <v>#VALUE!</v>
      </c>
      <c r="Z263" s="10">
        <f t="shared" si="89"/>
        <v>0.46206611073782039</v>
      </c>
      <c r="AA263" s="10" t="e">
        <f t="shared" ca="1" si="76"/>
        <v>#VALUE!</v>
      </c>
      <c r="AB263" s="11" t="e">
        <f t="shared" si="90"/>
        <v>#VALUE!</v>
      </c>
      <c r="AC263" s="11" t="e">
        <f>SUM($S$31:S263)/$V$31</f>
        <v>#VALUE!</v>
      </c>
      <c r="AD263" s="11" t="e">
        <f>SUM($S$31:S263,$R$31:R263,$T$31:T263)/$V$31</f>
        <v>#VALUE!</v>
      </c>
      <c r="AE263" s="11" t="e">
        <f>SUM($M$31:M263)/$V$31</f>
        <v>#VALUE!</v>
      </c>
      <c r="AF263" s="11" t="e">
        <f ca="1">SUM(SUM($M$31:M263),-SUM($T$31:T263))/$V$31</f>
        <v>#VALUE!</v>
      </c>
      <c r="AG263">
        <f t="shared" si="77"/>
        <v>54056</v>
      </c>
    </row>
    <row r="264" spans="2:33" x14ac:dyDescent="0.15">
      <c r="B264" s="1">
        <f t="shared" si="91"/>
        <v>233</v>
      </c>
      <c r="C264" s="1">
        <f t="shared" si="78"/>
        <v>233</v>
      </c>
      <c r="D264" s="25">
        <v>3.5953618033365199E-2</v>
      </c>
      <c r="E264" s="2">
        <f t="shared" si="79"/>
        <v>49678.257550879185</v>
      </c>
      <c r="F264" s="3">
        <f t="shared" si="92"/>
        <v>0.04</v>
      </c>
      <c r="G264" s="2">
        <f t="shared" si="93"/>
        <v>477.4153</v>
      </c>
      <c r="H264" s="2">
        <f t="shared" si="94"/>
        <v>165.59419183626397</v>
      </c>
      <c r="I264" s="2">
        <f t="shared" si="95"/>
        <v>311.82110816373603</v>
      </c>
      <c r="J264" s="2">
        <f t="shared" si="80"/>
        <v>49366.436442715451</v>
      </c>
      <c r="K264" s="2" t="e">
        <f t="shared" si="99"/>
        <v>#VALUE!</v>
      </c>
      <c r="L264" s="9">
        <v>1.6821425527395739E-3</v>
      </c>
      <c r="M264" s="2" t="e">
        <f t="shared" si="81"/>
        <v>#VALUE!</v>
      </c>
      <c r="N264" s="3">
        <f t="shared" si="82"/>
        <v>0.04</v>
      </c>
      <c r="O264" s="2" t="e">
        <f t="shared" si="83"/>
        <v>#VALUE!</v>
      </c>
      <c r="P264" s="10">
        <f t="shared" si="75"/>
        <v>0.4936643644271545</v>
      </c>
      <c r="Q264" s="13"/>
      <c r="R264" s="2" t="e">
        <f t="shared" si="96"/>
        <v>#VALUE!</v>
      </c>
      <c r="S264" s="2" t="e">
        <f t="shared" si="97"/>
        <v>#VALUE!</v>
      </c>
      <c r="T264" s="2" t="e">
        <f t="shared" ca="1" si="84"/>
        <v>#VALUE!</v>
      </c>
      <c r="U264" s="2" t="e">
        <f t="shared" si="98"/>
        <v>#VALUE!</v>
      </c>
      <c r="V264" s="2" t="e">
        <f t="shared" si="85"/>
        <v>#VALUE!</v>
      </c>
      <c r="W264" s="2">
        <f t="shared" si="86"/>
        <v>477.4153</v>
      </c>
      <c r="X264" s="2" t="e">
        <f t="shared" ca="1" si="87"/>
        <v>#VALUE!</v>
      </c>
      <c r="Y264" s="2" t="e">
        <f t="shared" ca="1" si="88"/>
        <v>#VALUE!</v>
      </c>
      <c r="Z264" s="10">
        <f t="shared" si="89"/>
        <v>0.4605310073802803</v>
      </c>
      <c r="AA264" s="10" t="e">
        <f t="shared" ca="1" si="76"/>
        <v>#VALUE!</v>
      </c>
      <c r="AB264" s="11" t="e">
        <f t="shared" si="90"/>
        <v>#VALUE!</v>
      </c>
      <c r="AC264" s="11" t="e">
        <f>SUM($S$31:S264)/$V$31</f>
        <v>#VALUE!</v>
      </c>
      <c r="AD264" s="11" t="e">
        <f>SUM($S$31:S264,$R$31:R264,$T$31:T264)/$V$31</f>
        <v>#VALUE!</v>
      </c>
      <c r="AE264" s="11" t="e">
        <f>SUM($M$31:M264)/$V$31</f>
        <v>#VALUE!</v>
      </c>
      <c r="AF264" s="11" t="e">
        <f ca="1">SUM(SUM($M$31:M264),-SUM($T$31:T264))/$V$31</f>
        <v>#VALUE!</v>
      </c>
      <c r="AG264">
        <f t="shared" si="77"/>
        <v>54522</v>
      </c>
    </row>
    <row r="265" spans="2:33" x14ac:dyDescent="0.15">
      <c r="B265" s="1">
        <f t="shared" si="91"/>
        <v>234</v>
      </c>
      <c r="C265" s="1">
        <f t="shared" si="78"/>
        <v>234</v>
      </c>
      <c r="D265" s="25">
        <v>3.5932174718851705E-2</v>
      </c>
      <c r="E265" s="2">
        <f t="shared" si="79"/>
        <v>49366.436442715451</v>
      </c>
      <c r="F265" s="3">
        <f t="shared" si="92"/>
        <v>0.04</v>
      </c>
      <c r="G265" s="2">
        <f t="shared" si="93"/>
        <v>477.4153</v>
      </c>
      <c r="H265" s="2">
        <f t="shared" si="94"/>
        <v>164.55478814238484</v>
      </c>
      <c r="I265" s="2">
        <f t="shared" si="95"/>
        <v>312.86051185761517</v>
      </c>
      <c r="J265" s="2">
        <f t="shared" si="80"/>
        <v>49053.575930857834</v>
      </c>
      <c r="K265" s="2" t="e">
        <f t="shared" si="99"/>
        <v>#VALUE!</v>
      </c>
      <c r="L265" s="9">
        <v>1.6821425527395739E-3</v>
      </c>
      <c r="M265" s="2" t="e">
        <f t="shared" si="81"/>
        <v>#VALUE!</v>
      </c>
      <c r="N265" s="3">
        <f t="shared" si="82"/>
        <v>0.04</v>
      </c>
      <c r="O265" s="2" t="e">
        <f t="shared" si="83"/>
        <v>#VALUE!</v>
      </c>
      <c r="P265" s="10">
        <f t="shared" si="75"/>
        <v>0.49053575930857835</v>
      </c>
      <c r="Q265" s="13"/>
      <c r="R265" s="2" t="e">
        <f t="shared" si="96"/>
        <v>#VALUE!</v>
      </c>
      <c r="S265" s="2" t="e">
        <f t="shared" si="97"/>
        <v>#VALUE!</v>
      </c>
      <c r="T265" s="2" t="e">
        <f t="shared" ca="1" si="84"/>
        <v>#VALUE!</v>
      </c>
      <c r="U265" s="2" t="e">
        <f t="shared" si="98"/>
        <v>#VALUE!</v>
      </c>
      <c r="V265" s="2" t="e">
        <f t="shared" si="85"/>
        <v>#VALUE!</v>
      </c>
      <c r="W265" s="2">
        <f t="shared" si="86"/>
        <v>477.4153</v>
      </c>
      <c r="X265" s="2" t="e">
        <f t="shared" ca="1" si="87"/>
        <v>#VALUE!</v>
      </c>
      <c r="Y265" s="2" t="e">
        <f t="shared" ca="1" si="88"/>
        <v>#VALUE!</v>
      </c>
      <c r="Z265" s="10">
        <f t="shared" si="89"/>
        <v>0.45900100403389332</v>
      </c>
      <c r="AA265" s="10" t="e">
        <f t="shared" ca="1" si="76"/>
        <v>#VALUE!</v>
      </c>
      <c r="AB265" s="11" t="e">
        <f t="shared" si="90"/>
        <v>#VALUE!</v>
      </c>
      <c r="AC265" s="11" t="e">
        <f>SUM($S$31:S265)/$V$31</f>
        <v>#VALUE!</v>
      </c>
      <c r="AD265" s="11" t="e">
        <f>SUM($S$31:S265,$R$31:R265,$T$31:T265)/$V$31</f>
        <v>#VALUE!</v>
      </c>
      <c r="AE265" s="11" t="e">
        <f>SUM($M$31:M265)/$V$31</f>
        <v>#VALUE!</v>
      </c>
      <c r="AF265" s="11" t="e">
        <f ca="1">SUM(SUM($M$31:M265),-SUM($T$31:T265))/$V$31</f>
        <v>#VALUE!</v>
      </c>
      <c r="AG265">
        <f t="shared" si="77"/>
        <v>54990</v>
      </c>
    </row>
    <row r="266" spans="2:33" x14ac:dyDescent="0.15">
      <c r="B266" s="1">
        <f t="shared" si="91"/>
        <v>235</v>
      </c>
      <c r="C266" s="1">
        <f t="shared" si="78"/>
        <v>235</v>
      </c>
      <c r="D266" s="25">
        <v>3.5909198242199299E-2</v>
      </c>
      <c r="E266" s="2">
        <f t="shared" si="79"/>
        <v>49053.575930857834</v>
      </c>
      <c r="F266" s="3">
        <f t="shared" si="92"/>
        <v>0.04</v>
      </c>
      <c r="G266" s="2">
        <f t="shared" si="93"/>
        <v>477.4153</v>
      </c>
      <c r="H266" s="2">
        <f t="shared" si="94"/>
        <v>163.51191976952612</v>
      </c>
      <c r="I266" s="2">
        <f t="shared" si="95"/>
        <v>313.90338023047389</v>
      </c>
      <c r="J266" s="2">
        <f t="shared" si="80"/>
        <v>48739.672550627358</v>
      </c>
      <c r="K266" s="2" t="e">
        <f t="shared" si="99"/>
        <v>#VALUE!</v>
      </c>
      <c r="L266" s="9">
        <v>1.6821425527395739E-3</v>
      </c>
      <c r="M266" s="2" t="e">
        <f t="shared" si="81"/>
        <v>#VALUE!</v>
      </c>
      <c r="N266" s="3">
        <f t="shared" si="82"/>
        <v>0.04</v>
      </c>
      <c r="O266" s="2" t="e">
        <f t="shared" si="83"/>
        <v>#VALUE!</v>
      </c>
      <c r="P266" s="10">
        <f t="shared" si="75"/>
        <v>0.48739672550627355</v>
      </c>
      <c r="Q266" s="13"/>
      <c r="R266" s="2" t="e">
        <f t="shared" si="96"/>
        <v>#VALUE!</v>
      </c>
      <c r="S266" s="2" t="e">
        <f t="shared" si="97"/>
        <v>#VALUE!</v>
      </c>
      <c r="T266" s="2" t="e">
        <f t="shared" ca="1" si="84"/>
        <v>#VALUE!</v>
      </c>
      <c r="U266" s="2" t="e">
        <f t="shared" si="98"/>
        <v>#VALUE!</v>
      </c>
      <c r="V266" s="2" t="e">
        <f t="shared" si="85"/>
        <v>#VALUE!</v>
      </c>
      <c r="W266" s="2">
        <f t="shared" si="86"/>
        <v>477.4153</v>
      </c>
      <c r="X266" s="2" t="e">
        <f t="shared" ca="1" si="87"/>
        <v>#VALUE!</v>
      </c>
      <c r="Y266" s="2" t="e">
        <f t="shared" ca="1" si="88"/>
        <v>#VALUE!</v>
      </c>
      <c r="Z266" s="10">
        <f t="shared" si="89"/>
        <v>0.45747608375510107</v>
      </c>
      <c r="AA266" s="10" t="e">
        <f t="shared" ca="1" si="76"/>
        <v>#VALUE!</v>
      </c>
      <c r="AB266" s="11" t="e">
        <f t="shared" si="90"/>
        <v>#VALUE!</v>
      </c>
      <c r="AC266" s="11" t="e">
        <f>SUM($S$31:S266)/$V$31</f>
        <v>#VALUE!</v>
      </c>
      <c r="AD266" s="11" t="e">
        <f>SUM($S$31:S266,$R$31:R266,$T$31:T266)/$V$31</f>
        <v>#VALUE!</v>
      </c>
      <c r="AE266" s="11" t="e">
        <f>SUM($M$31:M266)/$V$31</f>
        <v>#VALUE!</v>
      </c>
      <c r="AF266" s="11" t="e">
        <f ca="1">SUM(SUM($M$31:M266),-SUM($T$31:T266))/$V$31</f>
        <v>#VALUE!</v>
      </c>
      <c r="AG266">
        <f t="shared" si="77"/>
        <v>55460</v>
      </c>
    </row>
    <row r="267" spans="2:33" x14ac:dyDescent="0.15">
      <c r="B267" s="1">
        <f t="shared" si="91"/>
        <v>236</v>
      </c>
      <c r="C267" s="1">
        <f t="shared" si="78"/>
        <v>236</v>
      </c>
      <c r="D267" s="25">
        <v>3.5885436608343799E-2</v>
      </c>
      <c r="E267" s="2">
        <f t="shared" si="79"/>
        <v>48739.672550627358</v>
      </c>
      <c r="F267" s="3">
        <f t="shared" si="92"/>
        <v>0.04</v>
      </c>
      <c r="G267" s="2">
        <f t="shared" si="93"/>
        <v>477.4153</v>
      </c>
      <c r="H267" s="2">
        <f t="shared" si="94"/>
        <v>162.46557516875788</v>
      </c>
      <c r="I267" s="2">
        <f t="shared" si="95"/>
        <v>314.94972483124212</v>
      </c>
      <c r="J267" s="2">
        <f t="shared" si="80"/>
        <v>48424.722825796118</v>
      </c>
      <c r="K267" s="2" t="e">
        <f t="shared" si="99"/>
        <v>#VALUE!</v>
      </c>
      <c r="L267" s="9">
        <v>1.6821425527395739E-3</v>
      </c>
      <c r="M267" s="2" t="e">
        <f t="shared" si="81"/>
        <v>#VALUE!</v>
      </c>
      <c r="N267" s="3">
        <f t="shared" si="82"/>
        <v>0.04</v>
      </c>
      <c r="O267" s="2" t="e">
        <f t="shared" si="83"/>
        <v>#VALUE!</v>
      </c>
      <c r="P267" s="10">
        <f t="shared" si="75"/>
        <v>0.48424722825796118</v>
      </c>
      <c r="Q267" s="13"/>
      <c r="R267" s="2" t="e">
        <f t="shared" si="96"/>
        <v>#VALUE!</v>
      </c>
      <c r="S267" s="2" t="e">
        <f t="shared" si="97"/>
        <v>#VALUE!</v>
      </c>
      <c r="T267" s="2" t="e">
        <f t="shared" ca="1" si="84"/>
        <v>#VALUE!</v>
      </c>
      <c r="U267" s="2" t="e">
        <f t="shared" si="98"/>
        <v>#VALUE!</v>
      </c>
      <c r="V267" s="2" t="e">
        <f t="shared" si="85"/>
        <v>#VALUE!</v>
      </c>
      <c r="W267" s="2">
        <f t="shared" si="86"/>
        <v>477.4153</v>
      </c>
      <c r="X267" s="2" t="e">
        <f t="shared" ca="1" si="87"/>
        <v>#VALUE!</v>
      </c>
      <c r="Y267" s="2" t="e">
        <f t="shared" ca="1" si="88"/>
        <v>#VALUE!</v>
      </c>
      <c r="Z267" s="10">
        <f t="shared" si="89"/>
        <v>0.45595622965663579</v>
      </c>
      <c r="AA267" s="10" t="e">
        <f t="shared" ca="1" si="76"/>
        <v>#VALUE!</v>
      </c>
      <c r="AB267" s="11" t="e">
        <f t="shared" si="90"/>
        <v>#VALUE!</v>
      </c>
      <c r="AC267" s="11" t="e">
        <f>SUM($S$31:S267)/$V$31</f>
        <v>#VALUE!</v>
      </c>
      <c r="AD267" s="11" t="e">
        <f>SUM($S$31:S267,$R$31:R267,$T$31:T267)/$V$31</f>
        <v>#VALUE!</v>
      </c>
      <c r="AE267" s="11" t="e">
        <f>SUM($M$31:M267)/$V$31</f>
        <v>#VALUE!</v>
      </c>
      <c r="AF267" s="11" t="e">
        <f ca="1">SUM(SUM($M$31:M267),-SUM($T$31:T267))/$V$31</f>
        <v>#VALUE!</v>
      </c>
      <c r="AG267">
        <f t="shared" si="77"/>
        <v>55932</v>
      </c>
    </row>
    <row r="268" spans="2:33" x14ac:dyDescent="0.15">
      <c r="B268" s="1">
        <f t="shared" si="91"/>
        <v>237</v>
      </c>
      <c r="C268" s="1">
        <f t="shared" si="78"/>
        <v>237</v>
      </c>
      <c r="D268" s="25">
        <v>3.5865941596987104E-2</v>
      </c>
      <c r="E268" s="2">
        <f t="shared" si="79"/>
        <v>48424.722825796118</v>
      </c>
      <c r="F268" s="3">
        <f t="shared" si="92"/>
        <v>0.04</v>
      </c>
      <c r="G268" s="2">
        <f t="shared" si="93"/>
        <v>477.4153</v>
      </c>
      <c r="H268" s="2">
        <f t="shared" si="94"/>
        <v>161.41574275265373</v>
      </c>
      <c r="I268" s="2">
        <f t="shared" si="95"/>
        <v>315.99955724734627</v>
      </c>
      <c r="J268" s="2">
        <f t="shared" si="80"/>
        <v>48108.723268548769</v>
      </c>
      <c r="K268" s="2" t="e">
        <f t="shared" si="99"/>
        <v>#VALUE!</v>
      </c>
      <c r="L268" s="9">
        <v>1.6821425527395739E-3</v>
      </c>
      <c r="M268" s="2" t="e">
        <f t="shared" si="81"/>
        <v>#VALUE!</v>
      </c>
      <c r="N268" s="3">
        <f t="shared" si="82"/>
        <v>0.04</v>
      </c>
      <c r="O268" s="2" t="e">
        <f t="shared" si="83"/>
        <v>#VALUE!</v>
      </c>
      <c r="P268" s="10">
        <f t="shared" si="75"/>
        <v>0.4810872326854877</v>
      </c>
      <c r="Q268" s="13"/>
      <c r="R268" s="2" t="e">
        <f t="shared" si="96"/>
        <v>#VALUE!</v>
      </c>
      <c r="S268" s="2" t="e">
        <f t="shared" si="97"/>
        <v>#VALUE!</v>
      </c>
      <c r="T268" s="2" t="e">
        <f t="shared" ca="1" si="84"/>
        <v>#VALUE!</v>
      </c>
      <c r="U268" s="2" t="e">
        <f t="shared" si="98"/>
        <v>#VALUE!</v>
      </c>
      <c r="V268" s="2" t="e">
        <f t="shared" si="85"/>
        <v>#VALUE!</v>
      </c>
      <c r="W268" s="2">
        <f t="shared" si="86"/>
        <v>477.4153</v>
      </c>
      <c r="X268" s="2" t="e">
        <f t="shared" ca="1" si="87"/>
        <v>#VALUE!</v>
      </c>
      <c r="Y268" s="2" t="e">
        <f t="shared" ca="1" si="88"/>
        <v>#VALUE!</v>
      </c>
      <c r="Z268" s="10">
        <f t="shared" si="89"/>
        <v>0.45444142490733358</v>
      </c>
      <c r="AA268" s="10" t="e">
        <f t="shared" ca="1" si="76"/>
        <v>#VALUE!</v>
      </c>
      <c r="AB268" s="11" t="e">
        <f t="shared" si="90"/>
        <v>#VALUE!</v>
      </c>
      <c r="AC268" s="11" t="e">
        <f>SUM($S$31:S268)/$V$31</f>
        <v>#VALUE!</v>
      </c>
      <c r="AD268" s="11" t="e">
        <f>SUM($S$31:S268,$R$31:R268,$T$31:T268)/$V$31</f>
        <v>#VALUE!</v>
      </c>
      <c r="AE268" s="11" t="e">
        <f>SUM($M$31:M268)/$V$31</f>
        <v>#VALUE!</v>
      </c>
      <c r="AF268" s="11" t="e">
        <f ca="1">SUM(SUM($M$31:M268),-SUM($T$31:T268))/$V$31</f>
        <v>#VALUE!</v>
      </c>
      <c r="AG268">
        <f t="shared" si="77"/>
        <v>56406</v>
      </c>
    </row>
    <row r="269" spans="2:33" x14ac:dyDescent="0.15">
      <c r="B269" s="1">
        <f t="shared" si="91"/>
        <v>238</v>
      </c>
      <c r="C269" s="1">
        <f t="shared" si="78"/>
        <v>238</v>
      </c>
      <c r="D269" s="25">
        <v>3.5843480489590497E-2</v>
      </c>
      <c r="E269" s="2">
        <f t="shared" si="79"/>
        <v>48108.723268548769</v>
      </c>
      <c r="F269" s="3">
        <f t="shared" si="92"/>
        <v>0.04</v>
      </c>
      <c r="G269" s="2">
        <f t="shared" si="93"/>
        <v>477.4153</v>
      </c>
      <c r="H269" s="2">
        <f t="shared" si="94"/>
        <v>160.36241089516258</v>
      </c>
      <c r="I269" s="2">
        <f t="shared" si="95"/>
        <v>317.05288910483739</v>
      </c>
      <c r="J269" s="2">
        <f t="shared" si="80"/>
        <v>47791.670379443931</v>
      </c>
      <c r="K269" s="2" t="e">
        <f t="shared" si="99"/>
        <v>#VALUE!</v>
      </c>
      <c r="L269" s="9">
        <v>1.6821425527395739E-3</v>
      </c>
      <c r="M269" s="2" t="e">
        <f t="shared" si="81"/>
        <v>#VALUE!</v>
      </c>
      <c r="N269" s="3">
        <f t="shared" si="82"/>
        <v>0.04</v>
      </c>
      <c r="O269" s="2" t="e">
        <f t="shared" si="83"/>
        <v>#VALUE!</v>
      </c>
      <c r="P269" s="10">
        <f t="shared" si="75"/>
        <v>0.47791670379443929</v>
      </c>
      <c r="Q269" s="13"/>
      <c r="R269" s="2" t="e">
        <f t="shared" si="96"/>
        <v>#VALUE!</v>
      </c>
      <c r="S269" s="2" t="e">
        <f t="shared" si="97"/>
        <v>#VALUE!</v>
      </c>
      <c r="T269" s="2" t="e">
        <f t="shared" ca="1" si="84"/>
        <v>#VALUE!</v>
      </c>
      <c r="U269" s="2" t="e">
        <f t="shared" si="98"/>
        <v>#VALUE!</v>
      </c>
      <c r="V269" s="2" t="e">
        <f t="shared" si="85"/>
        <v>#VALUE!</v>
      </c>
      <c r="W269" s="2">
        <f t="shared" si="86"/>
        <v>477.4153</v>
      </c>
      <c r="X269" s="2" t="e">
        <f t="shared" ca="1" si="87"/>
        <v>#VALUE!</v>
      </c>
      <c r="Y269" s="2" t="e">
        <f t="shared" ca="1" si="88"/>
        <v>#VALUE!</v>
      </c>
      <c r="Z269" s="10">
        <f t="shared" si="89"/>
        <v>0.45293165273194791</v>
      </c>
      <c r="AA269" s="10" t="e">
        <f t="shared" ca="1" si="76"/>
        <v>#VALUE!</v>
      </c>
      <c r="AB269" s="11" t="e">
        <f t="shared" si="90"/>
        <v>#VALUE!</v>
      </c>
      <c r="AC269" s="11" t="e">
        <f>SUM($S$31:S269)/$V$31</f>
        <v>#VALUE!</v>
      </c>
      <c r="AD269" s="11" t="e">
        <f>SUM($S$31:S269,$R$31:R269,$T$31:T269)/$V$31</f>
        <v>#VALUE!</v>
      </c>
      <c r="AE269" s="11" t="e">
        <f>SUM($M$31:M269)/$V$31</f>
        <v>#VALUE!</v>
      </c>
      <c r="AF269" s="11" t="e">
        <f ca="1">SUM(SUM($M$31:M269),-SUM($T$31:T269))/$V$31</f>
        <v>#VALUE!</v>
      </c>
      <c r="AG269">
        <f t="shared" si="77"/>
        <v>56882</v>
      </c>
    </row>
    <row r="270" spans="2:33" x14ac:dyDescent="0.15">
      <c r="B270" s="1">
        <f t="shared" si="91"/>
        <v>239</v>
      </c>
      <c r="C270" s="1">
        <f t="shared" si="78"/>
        <v>239</v>
      </c>
      <c r="D270" s="25">
        <v>3.5825277602095904E-2</v>
      </c>
      <c r="E270" s="2">
        <f t="shared" si="79"/>
        <v>47791.670379443931</v>
      </c>
      <c r="F270" s="3">
        <f t="shared" si="92"/>
        <v>0.04</v>
      </c>
      <c r="G270" s="2">
        <f t="shared" si="93"/>
        <v>477.4153</v>
      </c>
      <c r="H270" s="2">
        <f t="shared" si="94"/>
        <v>159.30556793147977</v>
      </c>
      <c r="I270" s="2">
        <f t="shared" si="95"/>
        <v>318.1097320685202</v>
      </c>
      <c r="J270" s="2">
        <f t="shared" si="80"/>
        <v>47473.560647375409</v>
      </c>
      <c r="K270" s="2" t="e">
        <f t="shared" si="99"/>
        <v>#VALUE!</v>
      </c>
      <c r="L270" s="9">
        <v>1.6821425527395739E-3</v>
      </c>
      <c r="M270" s="2" t="e">
        <f t="shared" si="81"/>
        <v>#VALUE!</v>
      </c>
      <c r="N270" s="3">
        <f t="shared" si="82"/>
        <v>0.04</v>
      </c>
      <c r="O270" s="2" t="e">
        <f t="shared" si="83"/>
        <v>#VALUE!</v>
      </c>
      <c r="P270" s="10">
        <f t="shared" si="75"/>
        <v>0.47473560647375407</v>
      </c>
      <c r="Q270" s="13"/>
      <c r="R270" s="2" t="e">
        <f t="shared" si="96"/>
        <v>#VALUE!</v>
      </c>
      <c r="S270" s="2" t="e">
        <f t="shared" si="97"/>
        <v>#VALUE!</v>
      </c>
      <c r="T270" s="2" t="e">
        <f t="shared" ca="1" si="84"/>
        <v>#VALUE!</v>
      </c>
      <c r="U270" s="2" t="e">
        <f t="shared" si="98"/>
        <v>#VALUE!</v>
      </c>
      <c r="V270" s="2" t="e">
        <f t="shared" si="85"/>
        <v>#VALUE!</v>
      </c>
      <c r="W270" s="2">
        <f t="shared" si="86"/>
        <v>477.4153</v>
      </c>
      <c r="X270" s="2" t="e">
        <f t="shared" ca="1" si="87"/>
        <v>#VALUE!</v>
      </c>
      <c r="Y270" s="2" t="e">
        <f t="shared" ca="1" si="88"/>
        <v>#VALUE!</v>
      </c>
      <c r="Z270" s="10">
        <f t="shared" si="89"/>
        <v>0.45142689641096445</v>
      </c>
      <c r="AA270" s="10" t="e">
        <f t="shared" ca="1" si="76"/>
        <v>#VALUE!</v>
      </c>
      <c r="AB270" s="11" t="e">
        <f t="shared" si="90"/>
        <v>#VALUE!</v>
      </c>
      <c r="AC270" s="11" t="e">
        <f>SUM($S$31:S270)/$V$31</f>
        <v>#VALUE!</v>
      </c>
      <c r="AD270" s="11" t="e">
        <f>SUM($S$31:S270,$R$31:R270,$T$31:T270)/$V$31</f>
        <v>#VALUE!</v>
      </c>
      <c r="AE270" s="11" t="e">
        <f>SUM($M$31:M270)/$V$31</f>
        <v>#VALUE!</v>
      </c>
      <c r="AF270" s="11" t="e">
        <f ca="1">SUM(SUM($M$31:M270),-SUM($T$31:T270))/$V$31</f>
        <v>#VALUE!</v>
      </c>
      <c r="AG270">
        <f t="shared" si="77"/>
        <v>57360</v>
      </c>
    </row>
    <row r="271" spans="2:33" x14ac:dyDescent="0.15">
      <c r="B271" s="1">
        <f t="shared" si="91"/>
        <v>240</v>
      </c>
      <c r="C271" s="1">
        <f t="shared" si="78"/>
        <v>240</v>
      </c>
      <c r="D271" s="25">
        <v>3.5805605866640403E-2</v>
      </c>
      <c r="E271" s="2">
        <f t="shared" si="79"/>
        <v>47473.560647375409</v>
      </c>
      <c r="F271" s="3">
        <f t="shared" si="92"/>
        <v>0.04</v>
      </c>
      <c r="G271" s="2">
        <f t="shared" si="93"/>
        <v>477.4153</v>
      </c>
      <c r="H271" s="2">
        <f t="shared" si="94"/>
        <v>158.24520215791804</v>
      </c>
      <c r="I271" s="2">
        <f t="shared" si="95"/>
        <v>319.17009784208199</v>
      </c>
      <c r="J271" s="2">
        <f t="shared" si="80"/>
        <v>47154.390549533324</v>
      </c>
      <c r="K271" s="2" t="e">
        <f t="shared" si="99"/>
        <v>#VALUE!</v>
      </c>
      <c r="L271" s="9">
        <v>1.6821425527395739E-3</v>
      </c>
      <c r="M271" s="2" t="e">
        <f t="shared" si="81"/>
        <v>#VALUE!</v>
      </c>
      <c r="N271" s="3">
        <f t="shared" si="82"/>
        <v>0.04</v>
      </c>
      <c r="O271" s="2" t="e">
        <f t="shared" si="83"/>
        <v>#VALUE!</v>
      </c>
      <c r="P271" s="10">
        <f t="shared" si="75"/>
        <v>0.47154390549533326</v>
      </c>
      <c r="Q271" s="13"/>
      <c r="R271" s="2" t="e">
        <f t="shared" si="96"/>
        <v>#VALUE!</v>
      </c>
      <c r="S271" s="2" t="e">
        <f t="shared" si="97"/>
        <v>#VALUE!</v>
      </c>
      <c r="T271" s="2" t="e">
        <f t="shared" ca="1" si="84"/>
        <v>#VALUE!</v>
      </c>
      <c r="U271" s="2" t="e">
        <f t="shared" si="98"/>
        <v>#VALUE!</v>
      </c>
      <c r="V271" s="2" t="e">
        <f t="shared" si="85"/>
        <v>#VALUE!</v>
      </c>
      <c r="W271" s="2">
        <f t="shared" si="86"/>
        <v>477.4153</v>
      </c>
      <c r="X271" s="2" t="e">
        <f t="shared" ca="1" si="87"/>
        <v>#VALUE!</v>
      </c>
      <c r="Y271" s="2" t="e">
        <f t="shared" ca="1" si="88"/>
        <v>#VALUE!</v>
      </c>
      <c r="Z271" s="10">
        <f t="shared" si="89"/>
        <v>0.44992713928041467</v>
      </c>
      <c r="AA271" s="10" t="e">
        <f t="shared" ca="1" si="76"/>
        <v>#VALUE!</v>
      </c>
      <c r="AB271" s="11" t="e">
        <f t="shared" si="90"/>
        <v>#VALUE!</v>
      </c>
      <c r="AC271" s="11" t="e">
        <f>SUM($S$31:S271)/$V$31</f>
        <v>#VALUE!</v>
      </c>
      <c r="AD271" s="11" t="e">
        <f>SUM($S$31:S271,$R$31:R271,$T$31:T271)/$V$31</f>
        <v>#VALUE!</v>
      </c>
      <c r="AE271" s="11" t="e">
        <f>SUM($M$31:M271)/$V$31</f>
        <v>#VALUE!</v>
      </c>
      <c r="AF271" s="11" t="e">
        <f ca="1">SUM(SUM($M$31:M271),-SUM($T$31:T271))/$V$31</f>
        <v>#VALUE!</v>
      </c>
      <c r="AG271">
        <f t="shared" si="77"/>
        <v>57840</v>
      </c>
    </row>
    <row r="272" spans="2:33" x14ac:dyDescent="0.15">
      <c r="B272" s="1">
        <f t="shared" si="91"/>
        <v>241</v>
      </c>
      <c r="C272" s="1">
        <f t="shared" si="78"/>
        <v>241</v>
      </c>
      <c r="D272" s="25">
        <v>3.5782067644043597E-2</v>
      </c>
      <c r="E272" s="2">
        <f t="shared" si="79"/>
        <v>47154.390549533324</v>
      </c>
      <c r="F272" s="3">
        <f t="shared" si="92"/>
        <v>0.04</v>
      </c>
      <c r="G272" s="2">
        <f t="shared" si="93"/>
        <v>477.4153</v>
      </c>
      <c r="H272" s="2">
        <f t="shared" si="94"/>
        <v>157.18130183177774</v>
      </c>
      <c r="I272" s="2">
        <f t="shared" si="95"/>
        <v>320.23399816822223</v>
      </c>
      <c r="J272" s="2">
        <f t="shared" si="80"/>
        <v>46834.1565513651</v>
      </c>
      <c r="K272" s="2" t="e">
        <f t="shared" si="99"/>
        <v>#VALUE!</v>
      </c>
      <c r="L272" s="9">
        <v>1.6821425527395739E-3</v>
      </c>
      <c r="M272" s="2" t="e">
        <f t="shared" si="81"/>
        <v>#VALUE!</v>
      </c>
      <c r="N272" s="3">
        <f t="shared" si="82"/>
        <v>0.04</v>
      </c>
      <c r="O272" s="2" t="e">
        <f t="shared" si="83"/>
        <v>#VALUE!</v>
      </c>
      <c r="P272" s="10">
        <f t="shared" si="75"/>
        <v>0.46834156551365103</v>
      </c>
      <c r="Q272" s="13"/>
      <c r="R272" s="2" t="e">
        <f t="shared" si="96"/>
        <v>#VALUE!</v>
      </c>
      <c r="S272" s="2" t="e">
        <f t="shared" si="97"/>
        <v>#VALUE!</v>
      </c>
      <c r="T272" s="2" t="e">
        <f t="shared" ca="1" si="84"/>
        <v>#VALUE!</v>
      </c>
      <c r="U272" s="2" t="e">
        <f t="shared" si="98"/>
        <v>#VALUE!</v>
      </c>
      <c r="V272" s="2" t="e">
        <f t="shared" si="85"/>
        <v>#VALUE!</v>
      </c>
      <c r="W272" s="2">
        <f t="shared" si="86"/>
        <v>477.4153</v>
      </c>
      <c r="X272" s="2" t="e">
        <f t="shared" ca="1" si="87"/>
        <v>#VALUE!</v>
      </c>
      <c r="Y272" s="2" t="e">
        <f t="shared" ca="1" si="88"/>
        <v>#VALUE!</v>
      </c>
      <c r="Z272" s="10">
        <f t="shared" si="89"/>
        <v>0.44843236473169262</v>
      </c>
      <c r="AA272" s="10" t="e">
        <f t="shared" ca="1" si="76"/>
        <v>#VALUE!</v>
      </c>
      <c r="AB272" s="11" t="e">
        <f t="shared" si="90"/>
        <v>#VALUE!</v>
      </c>
      <c r="AC272" s="11" t="e">
        <f>SUM($S$31:S272)/$V$31</f>
        <v>#VALUE!</v>
      </c>
      <c r="AD272" s="11" t="e">
        <f>SUM($S$31:S272,$R$31:R272,$T$31:T272)/$V$31</f>
        <v>#VALUE!</v>
      </c>
      <c r="AE272" s="11" t="e">
        <f>SUM($M$31:M272)/$V$31</f>
        <v>#VALUE!</v>
      </c>
      <c r="AF272" s="11" t="e">
        <f ca="1">SUM(SUM($M$31:M272),-SUM($T$31:T272))/$V$31</f>
        <v>#VALUE!</v>
      </c>
      <c r="AG272">
        <f t="shared" si="77"/>
        <v>58322</v>
      </c>
    </row>
    <row r="273" spans="2:33" x14ac:dyDescent="0.15">
      <c r="B273" s="1">
        <f t="shared" si="91"/>
        <v>242</v>
      </c>
      <c r="C273" s="1">
        <f t="shared" si="78"/>
        <v>242</v>
      </c>
      <c r="D273" s="25">
        <v>3.5769692343351395E-2</v>
      </c>
      <c r="E273" s="2">
        <f t="shared" si="79"/>
        <v>46834.1565513651</v>
      </c>
      <c r="F273" s="3">
        <f t="shared" si="92"/>
        <v>0.04</v>
      </c>
      <c r="G273" s="2">
        <f t="shared" si="93"/>
        <v>477.4153</v>
      </c>
      <c r="H273" s="2">
        <f t="shared" si="94"/>
        <v>156.11385517121701</v>
      </c>
      <c r="I273" s="2">
        <f t="shared" si="95"/>
        <v>321.30144482878302</v>
      </c>
      <c r="J273" s="2">
        <f t="shared" si="80"/>
        <v>46512.855106536321</v>
      </c>
      <c r="K273" s="2" t="e">
        <f t="shared" si="99"/>
        <v>#VALUE!</v>
      </c>
      <c r="L273" s="9">
        <v>1.6821425527395739E-3</v>
      </c>
      <c r="M273" s="2" t="e">
        <f t="shared" si="81"/>
        <v>#VALUE!</v>
      </c>
      <c r="N273" s="3">
        <f t="shared" si="82"/>
        <v>0.04</v>
      </c>
      <c r="O273" s="2" t="e">
        <f t="shared" si="83"/>
        <v>#VALUE!</v>
      </c>
      <c r="P273" s="10">
        <f t="shared" si="75"/>
        <v>0.46512855106536322</v>
      </c>
      <c r="Q273" s="13"/>
      <c r="R273" s="2" t="e">
        <f t="shared" si="96"/>
        <v>#VALUE!</v>
      </c>
      <c r="S273" s="2" t="e">
        <f t="shared" si="97"/>
        <v>#VALUE!</v>
      </c>
      <c r="T273" s="2" t="e">
        <f t="shared" ca="1" si="84"/>
        <v>#VALUE!</v>
      </c>
      <c r="U273" s="2" t="e">
        <f t="shared" si="98"/>
        <v>#VALUE!</v>
      </c>
      <c r="V273" s="2" t="e">
        <f t="shared" si="85"/>
        <v>#VALUE!</v>
      </c>
      <c r="W273" s="2">
        <f t="shared" si="86"/>
        <v>477.4153</v>
      </c>
      <c r="X273" s="2" t="e">
        <f t="shared" ca="1" si="87"/>
        <v>#VALUE!</v>
      </c>
      <c r="Y273" s="2" t="e">
        <f t="shared" ca="1" si="88"/>
        <v>#VALUE!</v>
      </c>
      <c r="Z273" s="10">
        <f t="shared" si="89"/>
        <v>0.44694255621137052</v>
      </c>
      <c r="AA273" s="10" t="e">
        <f t="shared" ca="1" si="76"/>
        <v>#VALUE!</v>
      </c>
      <c r="AB273" s="11" t="e">
        <f t="shared" si="90"/>
        <v>#VALUE!</v>
      </c>
      <c r="AC273" s="11" t="e">
        <f>SUM($S$31:S273)/$V$31</f>
        <v>#VALUE!</v>
      </c>
      <c r="AD273" s="11" t="e">
        <f>SUM($S$31:S273,$R$31:R273,$T$31:T273)/$V$31</f>
        <v>#VALUE!</v>
      </c>
      <c r="AE273" s="11" t="e">
        <f>SUM($M$31:M273)/$V$31</f>
        <v>#VALUE!</v>
      </c>
      <c r="AF273" s="11" t="e">
        <f ca="1">SUM(SUM($M$31:M273),-SUM($T$31:T273))/$V$31</f>
        <v>#VALUE!</v>
      </c>
      <c r="AG273">
        <f t="shared" si="77"/>
        <v>58806</v>
      </c>
    </row>
    <row r="274" spans="2:33" x14ac:dyDescent="0.15">
      <c r="B274" s="1">
        <f t="shared" si="91"/>
        <v>243</v>
      </c>
      <c r="C274" s="1">
        <f t="shared" si="78"/>
        <v>243</v>
      </c>
      <c r="D274" s="25">
        <v>3.5749862248786998E-2</v>
      </c>
      <c r="E274" s="2">
        <f t="shared" si="79"/>
        <v>46512.855106536321</v>
      </c>
      <c r="F274" s="3">
        <f t="shared" si="92"/>
        <v>0.04</v>
      </c>
      <c r="G274" s="2">
        <f t="shared" si="93"/>
        <v>477.4153</v>
      </c>
      <c r="H274" s="2">
        <f t="shared" si="94"/>
        <v>155.04285035512109</v>
      </c>
      <c r="I274" s="2">
        <f t="shared" si="95"/>
        <v>322.37244964487888</v>
      </c>
      <c r="J274" s="2">
        <f t="shared" si="80"/>
        <v>46190.482656891443</v>
      </c>
      <c r="K274" s="2" t="e">
        <f t="shared" si="99"/>
        <v>#VALUE!</v>
      </c>
      <c r="L274" s="9">
        <v>1.6821425527395739E-3</v>
      </c>
      <c r="M274" s="2" t="e">
        <f t="shared" si="81"/>
        <v>#VALUE!</v>
      </c>
      <c r="N274" s="3">
        <f t="shared" si="82"/>
        <v>0.04</v>
      </c>
      <c r="O274" s="2" t="e">
        <f t="shared" si="83"/>
        <v>#VALUE!</v>
      </c>
      <c r="P274" s="10">
        <f t="shared" si="75"/>
        <v>0.46190482656891441</v>
      </c>
      <c r="Q274" s="13"/>
      <c r="R274" s="2" t="e">
        <f t="shared" si="96"/>
        <v>#VALUE!</v>
      </c>
      <c r="S274" s="2" t="e">
        <f t="shared" si="97"/>
        <v>#VALUE!</v>
      </c>
      <c r="T274" s="2" t="e">
        <f t="shared" ca="1" si="84"/>
        <v>#VALUE!</v>
      </c>
      <c r="U274" s="2" t="e">
        <f t="shared" si="98"/>
        <v>#VALUE!</v>
      </c>
      <c r="V274" s="2" t="e">
        <f t="shared" si="85"/>
        <v>#VALUE!</v>
      </c>
      <c r="W274" s="2">
        <f t="shared" si="86"/>
        <v>477.4153</v>
      </c>
      <c r="X274" s="2" t="e">
        <f t="shared" ca="1" si="87"/>
        <v>#VALUE!</v>
      </c>
      <c r="Y274" s="2" t="e">
        <f t="shared" ca="1" si="88"/>
        <v>#VALUE!</v>
      </c>
      <c r="Z274" s="10">
        <f t="shared" si="89"/>
        <v>0.44545769722101503</v>
      </c>
      <c r="AA274" s="10" t="e">
        <f t="shared" ca="1" si="76"/>
        <v>#VALUE!</v>
      </c>
      <c r="AB274" s="11" t="e">
        <f t="shared" si="90"/>
        <v>#VALUE!</v>
      </c>
      <c r="AC274" s="11" t="e">
        <f>SUM($S$31:S274)/$V$31</f>
        <v>#VALUE!</v>
      </c>
      <c r="AD274" s="11" t="e">
        <f>SUM($S$31:S274,$R$31:R274,$T$31:T274)/$V$31</f>
        <v>#VALUE!</v>
      </c>
      <c r="AE274" s="11" t="e">
        <f>SUM($M$31:M274)/$V$31</f>
        <v>#VALUE!</v>
      </c>
      <c r="AF274" s="11" t="e">
        <f ca="1">SUM(SUM($M$31:M274),-SUM($T$31:T274))/$V$31</f>
        <v>#VALUE!</v>
      </c>
      <c r="AG274">
        <f t="shared" si="77"/>
        <v>59292</v>
      </c>
    </row>
    <row r="275" spans="2:33" x14ac:dyDescent="0.15">
      <c r="B275" s="1">
        <f t="shared" si="91"/>
        <v>244</v>
      </c>
      <c r="C275" s="1">
        <f t="shared" si="78"/>
        <v>244</v>
      </c>
      <c r="D275" s="25">
        <v>3.5733964704604299E-2</v>
      </c>
      <c r="E275" s="2">
        <f t="shared" si="79"/>
        <v>46190.482656891443</v>
      </c>
      <c r="F275" s="3">
        <f t="shared" si="92"/>
        <v>0.04</v>
      </c>
      <c r="G275" s="2">
        <f t="shared" si="93"/>
        <v>477.4153</v>
      </c>
      <c r="H275" s="2">
        <f t="shared" si="94"/>
        <v>153.96827552297148</v>
      </c>
      <c r="I275" s="2">
        <f t="shared" si="95"/>
        <v>323.44702447702855</v>
      </c>
      <c r="J275" s="2">
        <f t="shared" si="80"/>
        <v>45867.035632414416</v>
      </c>
      <c r="K275" s="2" t="e">
        <f t="shared" si="99"/>
        <v>#VALUE!</v>
      </c>
      <c r="L275" s="9">
        <v>1.6821425527395739E-3</v>
      </c>
      <c r="M275" s="2" t="e">
        <f t="shared" si="81"/>
        <v>#VALUE!</v>
      </c>
      <c r="N275" s="3">
        <f t="shared" si="82"/>
        <v>0.04</v>
      </c>
      <c r="O275" s="2" t="e">
        <f t="shared" si="83"/>
        <v>#VALUE!</v>
      </c>
      <c r="P275" s="10">
        <f t="shared" si="75"/>
        <v>0.45867035632414416</v>
      </c>
      <c r="Q275" s="13"/>
      <c r="R275" s="2" t="e">
        <f t="shared" si="96"/>
        <v>#VALUE!</v>
      </c>
      <c r="S275" s="2" t="e">
        <f t="shared" si="97"/>
        <v>#VALUE!</v>
      </c>
      <c r="T275" s="2" t="e">
        <f t="shared" ca="1" si="84"/>
        <v>#VALUE!</v>
      </c>
      <c r="U275" s="2" t="e">
        <f t="shared" si="98"/>
        <v>#VALUE!</v>
      </c>
      <c r="V275" s="2" t="e">
        <f t="shared" si="85"/>
        <v>#VALUE!</v>
      </c>
      <c r="W275" s="2">
        <f t="shared" si="86"/>
        <v>477.4153</v>
      </c>
      <c r="X275" s="2" t="e">
        <f t="shared" ca="1" si="87"/>
        <v>#VALUE!</v>
      </c>
      <c r="Y275" s="2" t="e">
        <f t="shared" ca="1" si="88"/>
        <v>#VALUE!</v>
      </c>
      <c r="Z275" s="10">
        <f t="shared" si="89"/>
        <v>0.44397777131700494</v>
      </c>
      <c r="AA275" s="10" t="e">
        <f t="shared" ca="1" si="76"/>
        <v>#VALUE!</v>
      </c>
      <c r="AB275" s="11" t="e">
        <f t="shared" si="90"/>
        <v>#VALUE!</v>
      </c>
      <c r="AC275" s="11" t="e">
        <f>SUM($S$31:S275)/$V$31</f>
        <v>#VALUE!</v>
      </c>
      <c r="AD275" s="11" t="e">
        <f>SUM($S$31:S275,$R$31:R275,$T$31:T275)/$V$31</f>
        <v>#VALUE!</v>
      </c>
      <c r="AE275" s="11" t="e">
        <f>SUM($M$31:M275)/$V$31</f>
        <v>#VALUE!</v>
      </c>
      <c r="AF275" s="11" t="e">
        <f ca="1">SUM(SUM($M$31:M275),-SUM($T$31:T275))/$V$31</f>
        <v>#VALUE!</v>
      </c>
      <c r="AG275">
        <f t="shared" si="77"/>
        <v>59780</v>
      </c>
    </row>
    <row r="276" spans="2:33" x14ac:dyDescent="0.15">
      <c r="B276" s="1">
        <f t="shared" si="91"/>
        <v>245</v>
      </c>
      <c r="C276" s="1">
        <f t="shared" si="78"/>
        <v>245</v>
      </c>
      <c r="D276" s="25">
        <v>3.5714823813456004E-2</v>
      </c>
      <c r="E276" s="2">
        <f t="shared" si="79"/>
        <v>45867.035632414416</v>
      </c>
      <c r="F276" s="3">
        <f t="shared" si="92"/>
        <v>0.04</v>
      </c>
      <c r="G276" s="2">
        <f t="shared" si="93"/>
        <v>477.4153</v>
      </c>
      <c r="H276" s="2">
        <f t="shared" si="94"/>
        <v>152.89011877471472</v>
      </c>
      <c r="I276" s="2">
        <f t="shared" si="95"/>
        <v>324.52518122528528</v>
      </c>
      <c r="J276" s="2">
        <f t="shared" si="80"/>
        <v>45542.510451189133</v>
      </c>
      <c r="K276" s="2" t="e">
        <f t="shared" si="99"/>
        <v>#VALUE!</v>
      </c>
      <c r="L276" s="9">
        <v>1.6821425527395739E-3</v>
      </c>
      <c r="M276" s="2" t="e">
        <f t="shared" si="81"/>
        <v>#VALUE!</v>
      </c>
      <c r="N276" s="3">
        <f t="shared" si="82"/>
        <v>0.04</v>
      </c>
      <c r="O276" s="2" t="e">
        <f t="shared" si="83"/>
        <v>#VALUE!</v>
      </c>
      <c r="P276" s="10">
        <f t="shared" si="75"/>
        <v>0.45542510451189133</v>
      </c>
      <c r="Q276" s="13"/>
      <c r="R276" s="2" t="e">
        <f t="shared" si="96"/>
        <v>#VALUE!</v>
      </c>
      <c r="S276" s="2" t="e">
        <f t="shared" si="97"/>
        <v>#VALUE!</v>
      </c>
      <c r="T276" s="2" t="e">
        <f t="shared" ca="1" si="84"/>
        <v>#VALUE!</v>
      </c>
      <c r="U276" s="2" t="e">
        <f t="shared" si="98"/>
        <v>#VALUE!</v>
      </c>
      <c r="V276" s="2" t="e">
        <f t="shared" si="85"/>
        <v>#VALUE!</v>
      </c>
      <c r="W276" s="2">
        <f t="shared" si="86"/>
        <v>477.4153</v>
      </c>
      <c r="X276" s="2" t="e">
        <f t="shared" ca="1" si="87"/>
        <v>#VALUE!</v>
      </c>
      <c r="Y276" s="2" t="e">
        <f t="shared" ca="1" si="88"/>
        <v>#VALUE!</v>
      </c>
      <c r="Z276" s="10">
        <f t="shared" si="89"/>
        <v>0.44250276211034911</v>
      </c>
      <c r="AA276" s="10" t="e">
        <f t="shared" ca="1" si="76"/>
        <v>#VALUE!</v>
      </c>
      <c r="AB276" s="11" t="e">
        <f t="shared" si="90"/>
        <v>#VALUE!</v>
      </c>
      <c r="AC276" s="11" t="e">
        <f>SUM($S$31:S276)/$V$31</f>
        <v>#VALUE!</v>
      </c>
      <c r="AD276" s="11" t="e">
        <f>SUM($S$31:S276,$R$31:R276,$T$31:T276)/$V$31</f>
        <v>#VALUE!</v>
      </c>
      <c r="AE276" s="11" t="e">
        <f>SUM($M$31:M276)/$V$31</f>
        <v>#VALUE!</v>
      </c>
      <c r="AF276" s="11" t="e">
        <f ca="1">SUM(SUM($M$31:M276),-SUM($T$31:T276))/$V$31</f>
        <v>#VALUE!</v>
      </c>
      <c r="AG276">
        <f t="shared" si="77"/>
        <v>60270</v>
      </c>
    </row>
    <row r="277" spans="2:33" x14ac:dyDescent="0.15">
      <c r="B277" s="1">
        <f t="shared" si="91"/>
        <v>246</v>
      </c>
      <c r="C277" s="1">
        <f t="shared" si="78"/>
        <v>246</v>
      </c>
      <c r="D277" s="25">
        <v>3.5699608483906901E-2</v>
      </c>
      <c r="E277" s="2">
        <f t="shared" si="79"/>
        <v>45542.510451189133</v>
      </c>
      <c r="F277" s="3">
        <f t="shared" si="92"/>
        <v>0.04</v>
      </c>
      <c r="G277" s="2">
        <f t="shared" si="93"/>
        <v>477.4153</v>
      </c>
      <c r="H277" s="2">
        <f t="shared" si="94"/>
        <v>151.80836817063044</v>
      </c>
      <c r="I277" s="2">
        <f t="shared" si="95"/>
        <v>325.60693182936956</v>
      </c>
      <c r="J277" s="2">
        <f t="shared" si="80"/>
        <v>45216.903519359767</v>
      </c>
      <c r="K277" s="2" t="e">
        <f t="shared" si="99"/>
        <v>#VALUE!</v>
      </c>
      <c r="L277" s="9">
        <v>1.6821425527395739E-3</v>
      </c>
      <c r="M277" s="2" t="e">
        <f t="shared" si="81"/>
        <v>#VALUE!</v>
      </c>
      <c r="N277" s="3">
        <f t="shared" si="82"/>
        <v>0.04</v>
      </c>
      <c r="O277" s="2" t="e">
        <f t="shared" si="83"/>
        <v>#VALUE!</v>
      </c>
      <c r="P277" s="10">
        <f t="shared" si="75"/>
        <v>0.45216903519359769</v>
      </c>
      <c r="Q277" s="13"/>
      <c r="R277" s="2" t="e">
        <f t="shared" si="96"/>
        <v>#VALUE!</v>
      </c>
      <c r="S277" s="2" t="e">
        <f t="shared" si="97"/>
        <v>#VALUE!</v>
      </c>
      <c r="T277" s="2" t="e">
        <f t="shared" ca="1" si="84"/>
        <v>#VALUE!</v>
      </c>
      <c r="U277" s="2" t="e">
        <f t="shared" si="98"/>
        <v>#VALUE!</v>
      </c>
      <c r="V277" s="2" t="e">
        <f t="shared" si="85"/>
        <v>#VALUE!</v>
      </c>
      <c r="W277" s="2">
        <f t="shared" si="86"/>
        <v>477.4153</v>
      </c>
      <c r="X277" s="2" t="e">
        <f t="shared" ca="1" si="87"/>
        <v>#VALUE!</v>
      </c>
      <c r="Y277" s="2" t="e">
        <f t="shared" ca="1" si="88"/>
        <v>#VALUE!</v>
      </c>
      <c r="Z277" s="10">
        <f t="shared" si="89"/>
        <v>0.4410326532665047</v>
      </c>
      <c r="AA277" s="10" t="e">
        <f t="shared" ca="1" si="76"/>
        <v>#VALUE!</v>
      </c>
      <c r="AB277" s="11" t="e">
        <f t="shared" si="90"/>
        <v>#VALUE!</v>
      </c>
      <c r="AC277" s="11" t="e">
        <f>SUM($S$31:S277)/$V$31</f>
        <v>#VALUE!</v>
      </c>
      <c r="AD277" s="11" t="e">
        <f>SUM($S$31:S277,$R$31:R277,$T$31:T277)/$V$31</f>
        <v>#VALUE!</v>
      </c>
      <c r="AE277" s="11" t="e">
        <f>SUM($M$31:M277)/$V$31</f>
        <v>#VALUE!</v>
      </c>
      <c r="AF277" s="11" t="e">
        <f ca="1">SUM(SUM($M$31:M277),-SUM($T$31:T277))/$V$31</f>
        <v>#VALUE!</v>
      </c>
      <c r="AG277">
        <f t="shared" si="77"/>
        <v>60762</v>
      </c>
    </row>
    <row r="278" spans="2:33" x14ac:dyDescent="0.15">
      <c r="B278" s="1">
        <f t="shared" si="91"/>
        <v>247</v>
      </c>
      <c r="C278" s="1">
        <f t="shared" si="78"/>
        <v>247</v>
      </c>
      <c r="D278" s="25">
        <v>3.5682674330254301E-2</v>
      </c>
      <c r="E278" s="2">
        <f t="shared" si="79"/>
        <v>45216.903519359767</v>
      </c>
      <c r="F278" s="3">
        <f t="shared" si="92"/>
        <v>0.04</v>
      </c>
      <c r="G278" s="2">
        <f t="shared" si="93"/>
        <v>477.4153</v>
      </c>
      <c r="H278" s="2">
        <f t="shared" si="94"/>
        <v>150.72301173119922</v>
      </c>
      <c r="I278" s="2">
        <f t="shared" si="95"/>
        <v>326.69228826880078</v>
      </c>
      <c r="J278" s="2">
        <f t="shared" si="80"/>
        <v>44890.211231090965</v>
      </c>
      <c r="K278" s="2" t="e">
        <f t="shared" si="99"/>
        <v>#VALUE!</v>
      </c>
      <c r="L278" s="9">
        <v>1.6821425527395739E-3</v>
      </c>
      <c r="M278" s="2" t="e">
        <f t="shared" si="81"/>
        <v>#VALUE!</v>
      </c>
      <c r="N278" s="3">
        <f t="shared" si="82"/>
        <v>0.04</v>
      </c>
      <c r="O278" s="2" t="e">
        <f t="shared" si="83"/>
        <v>#VALUE!</v>
      </c>
      <c r="P278" s="10">
        <f t="shared" si="75"/>
        <v>0.44890211231090965</v>
      </c>
      <c r="Q278" s="13"/>
      <c r="R278" s="2" t="e">
        <f t="shared" si="96"/>
        <v>#VALUE!</v>
      </c>
      <c r="S278" s="2" t="e">
        <f t="shared" si="97"/>
        <v>#VALUE!</v>
      </c>
      <c r="T278" s="2" t="e">
        <f t="shared" ca="1" si="84"/>
        <v>#VALUE!</v>
      </c>
      <c r="U278" s="2" t="e">
        <f t="shared" si="98"/>
        <v>#VALUE!</v>
      </c>
      <c r="V278" s="2" t="e">
        <f t="shared" si="85"/>
        <v>#VALUE!</v>
      </c>
      <c r="W278" s="2">
        <f t="shared" si="86"/>
        <v>477.4153</v>
      </c>
      <c r="X278" s="2" t="e">
        <f t="shared" ca="1" si="87"/>
        <v>#VALUE!</v>
      </c>
      <c r="Y278" s="2" t="e">
        <f t="shared" ca="1" si="88"/>
        <v>#VALUE!</v>
      </c>
      <c r="Z278" s="10">
        <f t="shared" si="89"/>
        <v>0.43956742850519692</v>
      </c>
      <c r="AA278" s="10" t="e">
        <f t="shared" ca="1" si="76"/>
        <v>#VALUE!</v>
      </c>
      <c r="AB278" s="11" t="e">
        <f t="shared" si="90"/>
        <v>#VALUE!</v>
      </c>
      <c r="AC278" s="11" t="e">
        <f>SUM($S$31:S278)/$V$31</f>
        <v>#VALUE!</v>
      </c>
      <c r="AD278" s="11" t="e">
        <f>SUM($S$31:S278,$R$31:R278,$T$31:T278)/$V$31</f>
        <v>#VALUE!</v>
      </c>
      <c r="AE278" s="11" t="e">
        <f>SUM($M$31:M278)/$V$31</f>
        <v>#VALUE!</v>
      </c>
      <c r="AF278" s="11" t="e">
        <f ca="1">SUM(SUM($M$31:M278),-SUM($T$31:T278))/$V$31</f>
        <v>#VALUE!</v>
      </c>
      <c r="AG278">
        <f t="shared" si="77"/>
        <v>61256</v>
      </c>
    </row>
    <row r="279" spans="2:33" x14ac:dyDescent="0.15">
      <c r="B279" s="1">
        <f t="shared" si="91"/>
        <v>248</v>
      </c>
      <c r="C279" s="1">
        <f t="shared" si="78"/>
        <v>248</v>
      </c>
      <c r="D279" s="25">
        <v>3.5664572617436302E-2</v>
      </c>
      <c r="E279" s="2">
        <f t="shared" si="79"/>
        <v>44890.211231090965</v>
      </c>
      <c r="F279" s="3">
        <f t="shared" si="92"/>
        <v>0.04</v>
      </c>
      <c r="G279" s="2">
        <f t="shared" si="93"/>
        <v>477.4153</v>
      </c>
      <c r="H279" s="2">
        <f t="shared" si="94"/>
        <v>149.63403743696989</v>
      </c>
      <c r="I279" s="2">
        <f t="shared" si="95"/>
        <v>327.78126256303011</v>
      </c>
      <c r="J279" s="2">
        <f t="shared" si="80"/>
        <v>44562.429968527933</v>
      </c>
      <c r="K279" s="2" t="e">
        <f t="shared" si="99"/>
        <v>#VALUE!</v>
      </c>
      <c r="L279" s="9">
        <v>1.6821425527395739E-3</v>
      </c>
      <c r="M279" s="2" t="e">
        <f t="shared" si="81"/>
        <v>#VALUE!</v>
      </c>
      <c r="N279" s="3">
        <f t="shared" si="82"/>
        <v>0.04</v>
      </c>
      <c r="O279" s="2" t="e">
        <f t="shared" si="83"/>
        <v>#VALUE!</v>
      </c>
      <c r="P279" s="10">
        <f t="shared" si="75"/>
        <v>0.44562429968527933</v>
      </c>
      <c r="Q279" s="13"/>
      <c r="R279" s="2" t="e">
        <f t="shared" si="96"/>
        <v>#VALUE!</v>
      </c>
      <c r="S279" s="2" t="e">
        <f t="shared" si="97"/>
        <v>#VALUE!</v>
      </c>
      <c r="T279" s="2" t="e">
        <f t="shared" ca="1" si="84"/>
        <v>#VALUE!</v>
      </c>
      <c r="U279" s="2" t="e">
        <f t="shared" si="98"/>
        <v>#VALUE!</v>
      </c>
      <c r="V279" s="2" t="e">
        <f t="shared" si="85"/>
        <v>#VALUE!</v>
      </c>
      <c r="W279" s="2">
        <f t="shared" si="86"/>
        <v>477.4153</v>
      </c>
      <c r="X279" s="2" t="e">
        <f t="shared" ca="1" si="87"/>
        <v>#VALUE!</v>
      </c>
      <c r="Y279" s="2" t="e">
        <f t="shared" ca="1" si="88"/>
        <v>#VALUE!</v>
      </c>
      <c r="Z279" s="10">
        <f t="shared" si="89"/>
        <v>0.43810707160023765</v>
      </c>
      <c r="AA279" s="10" t="e">
        <f t="shared" ca="1" si="76"/>
        <v>#VALUE!</v>
      </c>
      <c r="AB279" s="11" t="e">
        <f t="shared" si="90"/>
        <v>#VALUE!</v>
      </c>
      <c r="AC279" s="11" t="e">
        <f>SUM($S$31:S279)/$V$31</f>
        <v>#VALUE!</v>
      </c>
      <c r="AD279" s="11" t="e">
        <f>SUM($S$31:S279,$R$31:R279,$T$31:T279)/$V$31</f>
        <v>#VALUE!</v>
      </c>
      <c r="AE279" s="11" t="e">
        <f>SUM($M$31:M279)/$V$31</f>
        <v>#VALUE!</v>
      </c>
      <c r="AF279" s="11" t="e">
        <f ca="1">SUM(SUM($M$31:M279),-SUM($T$31:T279))/$V$31</f>
        <v>#VALUE!</v>
      </c>
      <c r="AG279">
        <f t="shared" si="77"/>
        <v>61752</v>
      </c>
    </row>
    <row r="280" spans="2:33" x14ac:dyDescent="0.15">
      <c r="B280" s="1">
        <f t="shared" si="91"/>
        <v>249</v>
      </c>
      <c r="C280" s="1">
        <f t="shared" si="78"/>
        <v>249</v>
      </c>
      <c r="D280" s="25">
        <v>3.5650386454968999E-2</v>
      </c>
      <c r="E280" s="2">
        <f t="shared" si="79"/>
        <v>44562.429968527933</v>
      </c>
      <c r="F280" s="3">
        <f t="shared" si="92"/>
        <v>0.04</v>
      </c>
      <c r="G280" s="2">
        <f t="shared" si="93"/>
        <v>477.4153</v>
      </c>
      <c r="H280" s="2">
        <f t="shared" si="94"/>
        <v>148.54143322842646</v>
      </c>
      <c r="I280" s="2">
        <f t="shared" si="95"/>
        <v>328.87386677157355</v>
      </c>
      <c r="J280" s="2">
        <f t="shared" si="80"/>
        <v>44233.55610175636</v>
      </c>
      <c r="K280" s="2" t="e">
        <f t="shared" si="99"/>
        <v>#VALUE!</v>
      </c>
      <c r="L280" s="9">
        <v>1.6821425527395739E-3</v>
      </c>
      <c r="M280" s="2" t="e">
        <f t="shared" si="81"/>
        <v>#VALUE!</v>
      </c>
      <c r="N280" s="3">
        <f t="shared" si="82"/>
        <v>0.04</v>
      </c>
      <c r="O280" s="2" t="e">
        <f t="shared" si="83"/>
        <v>#VALUE!</v>
      </c>
      <c r="P280" s="10">
        <f t="shared" si="75"/>
        <v>0.44233556101756361</v>
      </c>
      <c r="Q280" s="13"/>
      <c r="R280" s="2" t="e">
        <f t="shared" si="96"/>
        <v>#VALUE!</v>
      </c>
      <c r="S280" s="2" t="e">
        <f t="shared" si="97"/>
        <v>#VALUE!</v>
      </c>
      <c r="T280" s="2" t="e">
        <f t="shared" ca="1" si="84"/>
        <v>#VALUE!</v>
      </c>
      <c r="U280" s="2" t="e">
        <f t="shared" si="98"/>
        <v>#VALUE!</v>
      </c>
      <c r="V280" s="2" t="e">
        <f t="shared" si="85"/>
        <v>#VALUE!</v>
      </c>
      <c r="W280" s="2">
        <f t="shared" si="86"/>
        <v>477.4153</v>
      </c>
      <c r="X280" s="2" t="e">
        <f t="shared" ca="1" si="87"/>
        <v>#VALUE!</v>
      </c>
      <c r="Y280" s="2" t="e">
        <f t="shared" ca="1" si="88"/>
        <v>#VALUE!</v>
      </c>
      <c r="Z280" s="10">
        <f t="shared" si="89"/>
        <v>0.43665156637934682</v>
      </c>
      <c r="AA280" s="10" t="e">
        <f t="shared" ca="1" si="76"/>
        <v>#VALUE!</v>
      </c>
      <c r="AB280" s="11" t="e">
        <f t="shared" si="90"/>
        <v>#VALUE!</v>
      </c>
      <c r="AC280" s="11" t="e">
        <f>SUM($S$31:S280)/$V$31</f>
        <v>#VALUE!</v>
      </c>
      <c r="AD280" s="11" t="e">
        <f>SUM($S$31:S280,$R$31:R280,$T$31:T280)/$V$31</f>
        <v>#VALUE!</v>
      </c>
      <c r="AE280" s="11" t="e">
        <f>SUM($M$31:M280)/$V$31</f>
        <v>#VALUE!</v>
      </c>
      <c r="AF280" s="11" t="e">
        <f ca="1">SUM(SUM($M$31:M280),-SUM($T$31:T280))/$V$31</f>
        <v>#VALUE!</v>
      </c>
      <c r="AG280">
        <f t="shared" si="77"/>
        <v>62250</v>
      </c>
    </row>
    <row r="281" spans="2:33" x14ac:dyDescent="0.15">
      <c r="B281" s="1">
        <f t="shared" si="91"/>
        <v>250</v>
      </c>
      <c r="C281" s="1">
        <f t="shared" si="78"/>
        <v>250</v>
      </c>
      <c r="D281" s="25">
        <v>3.5632973580479899E-2</v>
      </c>
      <c r="E281" s="2">
        <f t="shared" si="79"/>
        <v>44233.55610175636</v>
      </c>
      <c r="F281" s="3">
        <f t="shared" si="92"/>
        <v>0.04</v>
      </c>
      <c r="G281" s="2">
        <f t="shared" si="93"/>
        <v>477.4153</v>
      </c>
      <c r="H281" s="2">
        <f t="shared" si="94"/>
        <v>147.44518700585454</v>
      </c>
      <c r="I281" s="2">
        <f t="shared" si="95"/>
        <v>329.97011299414544</v>
      </c>
      <c r="J281" s="2">
        <f t="shared" si="80"/>
        <v>43903.585988762214</v>
      </c>
      <c r="K281" s="2" t="e">
        <f t="shared" si="99"/>
        <v>#VALUE!</v>
      </c>
      <c r="L281" s="9">
        <v>1.6821425527395739E-3</v>
      </c>
      <c r="M281" s="2" t="e">
        <f t="shared" si="81"/>
        <v>#VALUE!</v>
      </c>
      <c r="N281" s="3">
        <f t="shared" si="82"/>
        <v>0.04</v>
      </c>
      <c r="O281" s="2" t="e">
        <f t="shared" si="83"/>
        <v>#VALUE!</v>
      </c>
      <c r="P281" s="10">
        <f t="shared" si="75"/>
        <v>0.43903585988762212</v>
      </c>
      <c r="Q281" s="13"/>
      <c r="R281" s="2" t="e">
        <f t="shared" si="96"/>
        <v>#VALUE!</v>
      </c>
      <c r="S281" s="2" t="e">
        <f t="shared" si="97"/>
        <v>#VALUE!</v>
      </c>
      <c r="T281" s="2" t="e">
        <f t="shared" ca="1" si="84"/>
        <v>#VALUE!</v>
      </c>
      <c r="U281" s="2" t="e">
        <f t="shared" si="98"/>
        <v>#VALUE!</v>
      </c>
      <c r="V281" s="2" t="e">
        <f t="shared" si="85"/>
        <v>#VALUE!</v>
      </c>
      <c r="W281" s="2">
        <f t="shared" si="86"/>
        <v>477.4153</v>
      </c>
      <c r="X281" s="2" t="e">
        <f t="shared" ca="1" si="87"/>
        <v>#VALUE!</v>
      </c>
      <c r="Y281" s="2" t="e">
        <f t="shared" ca="1" si="88"/>
        <v>#VALUE!</v>
      </c>
      <c r="Z281" s="10">
        <f t="shared" si="89"/>
        <v>0.43520089672397255</v>
      </c>
      <c r="AA281" s="10" t="e">
        <f t="shared" ca="1" si="76"/>
        <v>#VALUE!</v>
      </c>
      <c r="AB281" s="11" t="e">
        <f t="shared" si="90"/>
        <v>#VALUE!</v>
      </c>
      <c r="AC281" s="11" t="e">
        <f>SUM($S$31:S281)/$V$31</f>
        <v>#VALUE!</v>
      </c>
      <c r="AD281" s="11" t="e">
        <f>SUM($S$31:S281,$R$31:R281,$T$31:T281)/$V$31</f>
        <v>#VALUE!</v>
      </c>
      <c r="AE281" s="11" t="e">
        <f>SUM($M$31:M281)/$V$31</f>
        <v>#VALUE!</v>
      </c>
      <c r="AF281" s="11" t="e">
        <f ca="1">SUM(SUM($M$31:M281),-SUM($T$31:T281))/$V$31</f>
        <v>#VALUE!</v>
      </c>
      <c r="AG281">
        <f t="shared" si="77"/>
        <v>62750</v>
      </c>
    </row>
    <row r="282" spans="2:33" x14ac:dyDescent="0.15">
      <c r="B282" s="1">
        <f t="shared" si="91"/>
        <v>251</v>
      </c>
      <c r="C282" s="1">
        <f t="shared" si="78"/>
        <v>251</v>
      </c>
      <c r="D282" s="25">
        <v>3.5619469968214197E-2</v>
      </c>
      <c r="E282" s="2">
        <f t="shared" si="79"/>
        <v>43903.585988762214</v>
      </c>
      <c r="F282" s="3">
        <f t="shared" si="92"/>
        <v>0.04</v>
      </c>
      <c r="G282" s="2">
        <f t="shared" si="93"/>
        <v>477.4153</v>
      </c>
      <c r="H282" s="2">
        <f t="shared" si="94"/>
        <v>146.34528662920738</v>
      </c>
      <c r="I282" s="2">
        <f t="shared" si="95"/>
        <v>331.07001337079259</v>
      </c>
      <c r="J282" s="2">
        <f t="shared" si="80"/>
        <v>43572.515975391419</v>
      </c>
      <c r="K282" s="2" t="e">
        <f t="shared" si="99"/>
        <v>#VALUE!</v>
      </c>
      <c r="L282" s="9">
        <v>1.6821425527395739E-3</v>
      </c>
      <c r="M282" s="2" t="e">
        <f t="shared" si="81"/>
        <v>#VALUE!</v>
      </c>
      <c r="N282" s="3">
        <f t="shared" si="82"/>
        <v>0.04</v>
      </c>
      <c r="O282" s="2" t="e">
        <f t="shared" si="83"/>
        <v>#VALUE!</v>
      </c>
      <c r="P282" s="10">
        <f t="shared" si="75"/>
        <v>0.43572515975391418</v>
      </c>
      <c r="Q282" s="13"/>
      <c r="R282" s="2" t="e">
        <f t="shared" si="96"/>
        <v>#VALUE!</v>
      </c>
      <c r="S282" s="2" t="e">
        <f t="shared" si="97"/>
        <v>#VALUE!</v>
      </c>
      <c r="T282" s="2" t="e">
        <f t="shared" ca="1" si="84"/>
        <v>#VALUE!</v>
      </c>
      <c r="U282" s="2" t="e">
        <f t="shared" si="98"/>
        <v>#VALUE!</v>
      </c>
      <c r="V282" s="2" t="e">
        <f t="shared" si="85"/>
        <v>#VALUE!</v>
      </c>
      <c r="W282" s="2">
        <f t="shared" si="86"/>
        <v>477.4153</v>
      </c>
      <c r="X282" s="2" t="e">
        <f t="shared" ca="1" si="87"/>
        <v>#VALUE!</v>
      </c>
      <c r="Y282" s="2" t="e">
        <f t="shared" ca="1" si="88"/>
        <v>#VALUE!</v>
      </c>
      <c r="Z282" s="10">
        <f t="shared" si="89"/>
        <v>0.43375504656911335</v>
      </c>
      <c r="AA282" s="10" t="e">
        <f t="shared" ca="1" si="76"/>
        <v>#VALUE!</v>
      </c>
      <c r="AB282" s="11" t="e">
        <f t="shared" si="90"/>
        <v>#VALUE!</v>
      </c>
      <c r="AC282" s="11" t="e">
        <f>SUM($S$31:S282)/$V$31</f>
        <v>#VALUE!</v>
      </c>
      <c r="AD282" s="11" t="e">
        <f>SUM($S$31:S282,$R$31:R282,$T$31:T282)/$V$31</f>
        <v>#VALUE!</v>
      </c>
      <c r="AE282" s="11" t="e">
        <f>SUM($M$31:M282)/$V$31</f>
        <v>#VALUE!</v>
      </c>
      <c r="AF282" s="11" t="e">
        <f ca="1">SUM(SUM($M$31:M282),-SUM($T$31:T282))/$V$31</f>
        <v>#VALUE!</v>
      </c>
      <c r="AG282">
        <f t="shared" si="77"/>
        <v>63252</v>
      </c>
    </row>
    <row r="283" spans="2:33" x14ac:dyDescent="0.15">
      <c r="B283" s="1">
        <f t="shared" si="91"/>
        <v>252</v>
      </c>
      <c r="C283" s="1">
        <f t="shared" si="78"/>
        <v>252</v>
      </c>
      <c r="D283" s="25">
        <v>3.5604283865152103E-2</v>
      </c>
      <c r="E283" s="2">
        <f t="shared" si="79"/>
        <v>43572.515975391419</v>
      </c>
      <c r="F283" s="3">
        <f t="shared" si="92"/>
        <v>0.04</v>
      </c>
      <c r="G283" s="2">
        <f t="shared" si="93"/>
        <v>477.4153</v>
      </c>
      <c r="H283" s="2">
        <f t="shared" si="94"/>
        <v>145.24171991797141</v>
      </c>
      <c r="I283" s="2">
        <f t="shared" si="95"/>
        <v>332.17358008202859</v>
      </c>
      <c r="J283" s="2">
        <f t="shared" si="80"/>
        <v>43240.342395309388</v>
      </c>
      <c r="K283" s="2" t="e">
        <f t="shared" si="99"/>
        <v>#VALUE!</v>
      </c>
      <c r="L283" s="9">
        <v>1.6821425527395739E-3</v>
      </c>
      <c r="M283" s="2" t="e">
        <f t="shared" si="81"/>
        <v>#VALUE!</v>
      </c>
      <c r="N283" s="3">
        <f t="shared" si="82"/>
        <v>0.04</v>
      </c>
      <c r="O283" s="2" t="e">
        <f t="shared" si="83"/>
        <v>#VALUE!</v>
      </c>
      <c r="P283" s="10">
        <f t="shared" si="75"/>
        <v>0.43240342395309389</v>
      </c>
      <c r="Q283" s="13"/>
      <c r="R283" s="2" t="e">
        <f t="shared" si="96"/>
        <v>#VALUE!</v>
      </c>
      <c r="S283" s="2" t="e">
        <f t="shared" si="97"/>
        <v>#VALUE!</v>
      </c>
      <c r="T283" s="2" t="e">
        <f t="shared" ca="1" si="84"/>
        <v>#VALUE!</v>
      </c>
      <c r="U283" s="2" t="e">
        <f t="shared" si="98"/>
        <v>#VALUE!</v>
      </c>
      <c r="V283" s="2" t="e">
        <f t="shared" si="85"/>
        <v>#VALUE!</v>
      </c>
      <c r="W283" s="2">
        <f t="shared" si="86"/>
        <v>477.4153</v>
      </c>
      <c r="X283" s="2" t="e">
        <f t="shared" ca="1" si="87"/>
        <v>#VALUE!</v>
      </c>
      <c r="Y283" s="2" t="e">
        <f t="shared" ca="1" si="88"/>
        <v>#VALUE!</v>
      </c>
      <c r="Z283" s="10">
        <f t="shared" si="89"/>
        <v>0.43231399990313957</v>
      </c>
      <c r="AA283" s="10" t="e">
        <f t="shared" ca="1" si="76"/>
        <v>#VALUE!</v>
      </c>
      <c r="AB283" s="11" t="e">
        <f t="shared" si="90"/>
        <v>#VALUE!</v>
      </c>
      <c r="AC283" s="11" t="e">
        <f>SUM($S$31:S283)/$V$31</f>
        <v>#VALUE!</v>
      </c>
      <c r="AD283" s="11" t="e">
        <f>SUM($S$31:S283,$R$31:R283,$T$31:T283)/$V$31</f>
        <v>#VALUE!</v>
      </c>
      <c r="AE283" s="11" t="e">
        <f>SUM($M$31:M283)/$V$31</f>
        <v>#VALUE!</v>
      </c>
      <c r="AF283" s="11" t="e">
        <f ca="1">SUM(SUM($M$31:M283),-SUM($T$31:T283))/$V$31</f>
        <v>#VALUE!</v>
      </c>
      <c r="AG283">
        <f t="shared" si="77"/>
        <v>63756</v>
      </c>
    </row>
    <row r="284" spans="2:33" x14ac:dyDescent="0.15">
      <c r="B284" s="1">
        <f t="shared" si="91"/>
        <v>253</v>
      </c>
      <c r="C284" s="1">
        <f t="shared" si="78"/>
        <v>253</v>
      </c>
      <c r="D284" s="25">
        <v>3.55848255690265E-2</v>
      </c>
      <c r="E284" s="2">
        <f t="shared" si="79"/>
        <v>43240.342395309388</v>
      </c>
      <c r="F284" s="3">
        <f t="shared" si="92"/>
        <v>0.04</v>
      </c>
      <c r="G284" s="2">
        <f t="shared" si="93"/>
        <v>477.4153</v>
      </c>
      <c r="H284" s="2">
        <f t="shared" si="94"/>
        <v>144.1344746510313</v>
      </c>
      <c r="I284" s="2">
        <f t="shared" si="95"/>
        <v>333.28082534896873</v>
      </c>
      <c r="J284" s="2">
        <f t="shared" si="80"/>
        <v>42907.061569960417</v>
      </c>
      <c r="K284" s="2" t="e">
        <f t="shared" si="99"/>
        <v>#VALUE!</v>
      </c>
      <c r="L284" s="9">
        <v>1.6821425527395739E-3</v>
      </c>
      <c r="M284" s="2" t="e">
        <f t="shared" si="81"/>
        <v>#VALUE!</v>
      </c>
      <c r="N284" s="3">
        <f t="shared" si="82"/>
        <v>0.04</v>
      </c>
      <c r="O284" s="2" t="e">
        <f t="shared" si="83"/>
        <v>#VALUE!</v>
      </c>
      <c r="P284" s="10">
        <f t="shared" si="75"/>
        <v>0.42907061569960414</v>
      </c>
      <c r="Q284" s="13"/>
      <c r="R284" s="2" t="e">
        <f t="shared" si="96"/>
        <v>#VALUE!</v>
      </c>
      <c r="S284" s="2" t="e">
        <f t="shared" si="97"/>
        <v>#VALUE!</v>
      </c>
      <c r="T284" s="2" t="e">
        <f t="shared" ca="1" si="84"/>
        <v>#VALUE!</v>
      </c>
      <c r="U284" s="2" t="e">
        <f t="shared" si="98"/>
        <v>#VALUE!</v>
      </c>
      <c r="V284" s="2" t="e">
        <f t="shared" si="85"/>
        <v>#VALUE!</v>
      </c>
      <c r="W284" s="2">
        <f t="shared" si="86"/>
        <v>477.4153</v>
      </c>
      <c r="X284" s="2" t="e">
        <f t="shared" ca="1" si="87"/>
        <v>#VALUE!</v>
      </c>
      <c r="Y284" s="2" t="e">
        <f t="shared" ca="1" si="88"/>
        <v>#VALUE!</v>
      </c>
      <c r="Z284" s="10">
        <f t="shared" si="89"/>
        <v>0.4308777407676162</v>
      </c>
      <c r="AA284" s="10" t="e">
        <f t="shared" ca="1" si="76"/>
        <v>#VALUE!</v>
      </c>
      <c r="AB284" s="11" t="e">
        <f t="shared" si="90"/>
        <v>#VALUE!</v>
      </c>
      <c r="AC284" s="11" t="e">
        <f>SUM($S$31:S284)/$V$31</f>
        <v>#VALUE!</v>
      </c>
      <c r="AD284" s="11" t="e">
        <f>SUM($S$31:S284,$R$31:R284,$T$31:T284)/$V$31</f>
        <v>#VALUE!</v>
      </c>
      <c r="AE284" s="11" t="e">
        <f>SUM($M$31:M284)/$V$31</f>
        <v>#VALUE!</v>
      </c>
      <c r="AF284" s="11" t="e">
        <f ca="1">SUM(SUM($M$31:M284),-SUM($T$31:T284))/$V$31</f>
        <v>#VALUE!</v>
      </c>
      <c r="AG284">
        <f t="shared" si="77"/>
        <v>64262</v>
      </c>
    </row>
    <row r="285" spans="2:33" x14ac:dyDescent="0.15">
      <c r="B285" s="1">
        <f t="shared" si="91"/>
        <v>254</v>
      </c>
      <c r="C285" s="1">
        <f t="shared" si="78"/>
        <v>254</v>
      </c>
      <c r="D285" s="25">
        <v>3.5576359779368502E-2</v>
      </c>
      <c r="E285" s="2">
        <f t="shared" si="79"/>
        <v>42907.061569960417</v>
      </c>
      <c r="F285" s="3">
        <f t="shared" si="92"/>
        <v>0.04</v>
      </c>
      <c r="G285" s="2">
        <f t="shared" si="93"/>
        <v>477.4153</v>
      </c>
      <c r="H285" s="2">
        <f t="shared" si="94"/>
        <v>143.02353856653474</v>
      </c>
      <c r="I285" s="2">
        <f t="shared" si="95"/>
        <v>334.39176143346526</v>
      </c>
      <c r="J285" s="2">
        <f t="shared" si="80"/>
        <v>42572.669808526953</v>
      </c>
      <c r="K285" s="2" t="e">
        <f t="shared" si="99"/>
        <v>#VALUE!</v>
      </c>
      <c r="L285" s="9">
        <v>1.6821425527395739E-3</v>
      </c>
      <c r="M285" s="2" t="e">
        <f t="shared" si="81"/>
        <v>#VALUE!</v>
      </c>
      <c r="N285" s="3">
        <f t="shared" si="82"/>
        <v>0.04</v>
      </c>
      <c r="O285" s="2" t="e">
        <f t="shared" si="83"/>
        <v>#VALUE!</v>
      </c>
      <c r="P285" s="10">
        <f t="shared" si="75"/>
        <v>0.42572669808526953</v>
      </c>
      <c r="Q285" s="13"/>
      <c r="R285" s="2" t="e">
        <f t="shared" si="96"/>
        <v>#VALUE!</v>
      </c>
      <c r="S285" s="2" t="e">
        <f t="shared" si="97"/>
        <v>#VALUE!</v>
      </c>
      <c r="T285" s="2" t="e">
        <f t="shared" ca="1" si="84"/>
        <v>#VALUE!</v>
      </c>
      <c r="U285" s="2" t="e">
        <f t="shared" si="98"/>
        <v>#VALUE!</v>
      </c>
      <c r="V285" s="2" t="e">
        <f t="shared" si="85"/>
        <v>#VALUE!</v>
      </c>
      <c r="W285" s="2">
        <f t="shared" si="86"/>
        <v>477.4153</v>
      </c>
      <c r="X285" s="2" t="e">
        <f t="shared" ca="1" si="87"/>
        <v>#VALUE!</v>
      </c>
      <c r="Y285" s="2" t="e">
        <f t="shared" ca="1" si="88"/>
        <v>#VALUE!</v>
      </c>
      <c r="Z285" s="10">
        <f t="shared" si="89"/>
        <v>0.42944625325712638</v>
      </c>
      <c r="AA285" s="10" t="e">
        <f t="shared" ca="1" si="76"/>
        <v>#VALUE!</v>
      </c>
      <c r="AB285" s="11" t="e">
        <f t="shared" si="90"/>
        <v>#VALUE!</v>
      </c>
      <c r="AC285" s="11" t="e">
        <f>SUM($S$31:S285)/$V$31</f>
        <v>#VALUE!</v>
      </c>
      <c r="AD285" s="11" t="e">
        <f>SUM($S$31:S285,$R$31:R285,$T$31:T285)/$V$31</f>
        <v>#VALUE!</v>
      </c>
      <c r="AE285" s="11" t="e">
        <f>SUM($M$31:M285)/$V$31</f>
        <v>#VALUE!</v>
      </c>
      <c r="AF285" s="11" t="e">
        <f ca="1">SUM(SUM($M$31:M285),-SUM($T$31:T285))/$V$31</f>
        <v>#VALUE!</v>
      </c>
      <c r="AG285">
        <f t="shared" si="77"/>
        <v>64770</v>
      </c>
    </row>
    <row r="286" spans="2:33" x14ac:dyDescent="0.15">
      <c r="B286" s="1">
        <f t="shared" si="91"/>
        <v>255</v>
      </c>
      <c r="C286" s="1">
        <f t="shared" si="78"/>
        <v>255</v>
      </c>
      <c r="D286" s="25">
        <v>3.5560651441792698E-2</v>
      </c>
      <c r="E286" s="2">
        <f t="shared" si="79"/>
        <v>42572.669808526953</v>
      </c>
      <c r="F286" s="3">
        <f t="shared" si="92"/>
        <v>0.04</v>
      </c>
      <c r="G286" s="2">
        <f t="shared" si="93"/>
        <v>477.4153</v>
      </c>
      <c r="H286" s="2">
        <f t="shared" si="94"/>
        <v>141.90889936175651</v>
      </c>
      <c r="I286" s="2">
        <f t="shared" si="95"/>
        <v>335.50640063824346</v>
      </c>
      <c r="J286" s="2">
        <f t="shared" si="80"/>
        <v>42237.163407888707</v>
      </c>
      <c r="K286" s="2" t="e">
        <f t="shared" si="99"/>
        <v>#VALUE!</v>
      </c>
      <c r="L286" s="9">
        <v>1.6821425527395739E-3</v>
      </c>
      <c r="M286" s="2" t="e">
        <f t="shared" si="81"/>
        <v>#VALUE!</v>
      </c>
      <c r="N286" s="3">
        <f t="shared" si="82"/>
        <v>0.04</v>
      </c>
      <c r="O286" s="2" t="e">
        <f t="shared" si="83"/>
        <v>#VALUE!</v>
      </c>
      <c r="P286" s="10">
        <f t="shared" si="75"/>
        <v>0.42237163407888706</v>
      </c>
      <c r="Q286" s="13"/>
      <c r="R286" s="2" t="e">
        <f t="shared" si="96"/>
        <v>#VALUE!</v>
      </c>
      <c r="S286" s="2" t="e">
        <f t="shared" si="97"/>
        <v>#VALUE!</v>
      </c>
      <c r="T286" s="2" t="e">
        <f t="shared" ca="1" si="84"/>
        <v>#VALUE!</v>
      </c>
      <c r="U286" s="2" t="e">
        <f t="shared" si="98"/>
        <v>#VALUE!</v>
      </c>
      <c r="V286" s="2" t="e">
        <f t="shared" si="85"/>
        <v>#VALUE!</v>
      </c>
      <c r="W286" s="2">
        <f t="shared" si="86"/>
        <v>477.4153</v>
      </c>
      <c r="X286" s="2" t="e">
        <f t="shared" ca="1" si="87"/>
        <v>#VALUE!</v>
      </c>
      <c r="Y286" s="2" t="e">
        <f t="shared" ca="1" si="88"/>
        <v>#VALUE!</v>
      </c>
      <c r="Z286" s="10">
        <f t="shared" si="89"/>
        <v>0.42801952151909584</v>
      </c>
      <c r="AA286" s="10" t="e">
        <f t="shared" ca="1" si="76"/>
        <v>#VALUE!</v>
      </c>
      <c r="AB286" s="11" t="e">
        <f t="shared" si="90"/>
        <v>#VALUE!</v>
      </c>
      <c r="AC286" s="11" t="e">
        <f>SUM($S$31:S286)/$V$31</f>
        <v>#VALUE!</v>
      </c>
      <c r="AD286" s="11" t="e">
        <f>SUM($S$31:S286,$R$31:R286,$T$31:T286)/$V$31</f>
        <v>#VALUE!</v>
      </c>
      <c r="AE286" s="11" t="e">
        <f>SUM($M$31:M286)/$V$31</f>
        <v>#VALUE!</v>
      </c>
      <c r="AF286" s="11" t="e">
        <f ca="1">SUM(SUM($M$31:M286),-SUM($T$31:T286))/$V$31</f>
        <v>#VALUE!</v>
      </c>
      <c r="AG286">
        <f t="shared" si="77"/>
        <v>65280</v>
      </c>
    </row>
    <row r="287" spans="2:33" x14ac:dyDescent="0.15">
      <c r="B287" s="1">
        <f t="shared" si="91"/>
        <v>256</v>
      </c>
      <c r="C287" s="1">
        <f t="shared" si="78"/>
        <v>256</v>
      </c>
      <c r="D287" s="25">
        <v>3.5548837995331102E-2</v>
      </c>
      <c r="E287" s="2">
        <f t="shared" si="79"/>
        <v>42237.163407888707</v>
      </c>
      <c r="F287" s="3">
        <f t="shared" si="92"/>
        <v>0.04</v>
      </c>
      <c r="G287" s="2">
        <f t="shared" si="93"/>
        <v>477.4153</v>
      </c>
      <c r="H287" s="2">
        <f t="shared" si="94"/>
        <v>140.79054469296236</v>
      </c>
      <c r="I287" s="2">
        <f t="shared" si="95"/>
        <v>336.62475530703762</v>
      </c>
      <c r="J287" s="2">
        <f t="shared" si="80"/>
        <v>41900.538652581672</v>
      </c>
      <c r="K287" s="2" t="e">
        <f t="shared" si="99"/>
        <v>#VALUE!</v>
      </c>
      <c r="L287" s="9">
        <v>1.6821425527395739E-3</v>
      </c>
      <c r="M287" s="2" t="e">
        <f t="shared" si="81"/>
        <v>#VALUE!</v>
      </c>
      <c r="N287" s="3">
        <f t="shared" si="82"/>
        <v>0.04</v>
      </c>
      <c r="O287" s="2" t="e">
        <f t="shared" si="83"/>
        <v>#VALUE!</v>
      </c>
      <c r="P287" s="10">
        <f t="shared" ref="P287:P350" si="100">J287/$J$31</f>
        <v>0.4190053865258167</v>
      </c>
      <c r="Q287" s="13"/>
      <c r="R287" s="2" t="e">
        <f t="shared" si="96"/>
        <v>#VALUE!</v>
      </c>
      <c r="S287" s="2" t="e">
        <f t="shared" si="97"/>
        <v>#VALUE!</v>
      </c>
      <c r="T287" s="2" t="e">
        <f t="shared" ca="1" si="84"/>
        <v>#VALUE!</v>
      </c>
      <c r="U287" s="2" t="e">
        <f t="shared" si="98"/>
        <v>#VALUE!</v>
      </c>
      <c r="V287" s="2" t="e">
        <f t="shared" si="85"/>
        <v>#VALUE!</v>
      </c>
      <c r="W287" s="2">
        <f t="shared" si="86"/>
        <v>477.4153</v>
      </c>
      <c r="X287" s="2" t="e">
        <f t="shared" ca="1" si="87"/>
        <v>#VALUE!</v>
      </c>
      <c r="Y287" s="2" t="e">
        <f t="shared" ca="1" si="88"/>
        <v>#VALUE!</v>
      </c>
      <c r="Z287" s="10">
        <f t="shared" si="89"/>
        <v>0.42659752975361548</v>
      </c>
      <c r="AA287" s="10" t="e">
        <f t="shared" ref="AA287:AA350" ca="1" si="101">1/((1+$Y$4/12)^B287)</f>
        <v>#VALUE!</v>
      </c>
      <c r="AB287" s="11" t="e">
        <f t="shared" si="90"/>
        <v>#VALUE!</v>
      </c>
      <c r="AC287" s="11" t="e">
        <f>SUM($S$31:S287)/$V$31</f>
        <v>#VALUE!</v>
      </c>
      <c r="AD287" s="11" t="e">
        <f>SUM($S$31:S287,$R$31:R287,$T$31:T287)/$V$31</f>
        <v>#VALUE!</v>
      </c>
      <c r="AE287" s="11" t="e">
        <f>SUM($M$31:M287)/$V$31</f>
        <v>#VALUE!</v>
      </c>
      <c r="AF287" s="11" t="e">
        <f ca="1">SUM(SUM($M$31:M287),-SUM($T$31:T287))/$V$31</f>
        <v>#VALUE!</v>
      </c>
      <c r="AG287">
        <f t="shared" ref="AG287:AG350" si="102">B287^2+B287</f>
        <v>65792</v>
      </c>
    </row>
    <row r="288" spans="2:33" x14ac:dyDescent="0.15">
      <c r="B288" s="1">
        <f t="shared" si="91"/>
        <v>257</v>
      </c>
      <c r="C288" s="1">
        <f t="shared" ref="C288:C351" si="103">B288+($E$4-$F$4)</f>
        <v>257</v>
      </c>
      <c r="D288" s="25">
        <v>3.5533817996439995E-2</v>
      </c>
      <c r="E288" s="2">
        <f t="shared" ref="E288:E351" si="104">J287</f>
        <v>41900.538652581672</v>
      </c>
      <c r="F288" s="3">
        <f t="shared" si="92"/>
        <v>0.04</v>
      </c>
      <c r="G288" s="2">
        <f t="shared" si="93"/>
        <v>477.4153</v>
      </c>
      <c r="H288" s="2">
        <f t="shared" si="94"/>
        <v>139.66846217527225</v>
      </c>
      <c r="I288" s="2">
        <f t="shared" si="95"/>
        <v>337.74683782472778</v>
      </c>
      <c r="J288" s="2">
        <f t="shared" ref="J288:J351" si="105">E288-I288</f>
        <v>41562.791814756943</v>
      </c>
      <c r="K288" s="2" t="e">
        <f t="shared" si="99"/>
        <v>#VALUE!</v>
      </c>
      <c r="L288" s="9">
        <v>1.6821425527395739E-3</v>
      </c>
      <c r="M288" s="2" t="e">
        <f t="shared" ref="M288:M351" si="106">L288*K288</f>
        <v>#VALUE!</v>
      </c>
      <c r="N288" s="3">
        <f t="shared" ref="N288:N351" si="107">F288</f>
        <v>0.04</v>
      </c>
      <c r="O288" s="2" t="e">
        <f t="shared" ref="O288:O351" si="108">(K288-M288)*N288/12</f>
        <v>#VALUE!</v>
      </c>
      <c r="P288" s="10">
        <f t="shared" si="100"/>
        <v>0.41562791814756944</v>
      </c>
      <c r="Q288" s="13"/>
      <c r="R288" s="2" t="e">
        <f t="shared" si="96"/>
        <v>#VALUE!</v>
      </c>
      <c r="S288" s="2" t="e">
        <f t="shared" si="97"/>
        <v>#VALUE!</v>
      </c>
      <c r="T288" s="2" t="e">
        <f t="shared" ref="T288:T351" ca="1" si="109">IF(B288&gt;=$S$4,OFFSET(M288,-$S$4,0)*$R$4,0)</f>
        <v>#VALUE!</v>
      </c>
      <c r="U288" s="2" t="e">
        <f t="shared" si="98"/>
        <v>#VALUE!</v>
      </c>
      <c r="V288" s="2" t="e">
        <f t="shared" ref="V288:V351" si="110">K288-M288-R288-S288</f>
        <v>#VALUE!</v>
      </c>
      <c r="W288" s="2">
        <f t="shared" ref="W288:W351" si="111">H288+I288</f>
        <v>477.4153</v>
      </c>
      <c r="X288" s="2" t="e">
        <f t="shared" ref="X288:X351" ca="1" si="112">S288+T288</f>
        <v>#VALUE!</v>
      </c>
      <c r="Y288" s="2" t="e">
        <f t="shared" ref="Y288:Y351" ca="1" si="113">O288+R288+S288+T288</f>
        <v>#VALUE!</v>
      </c>
      <c r="Z288" s="10">
        <f t="shared" ref="Z288:Z351" si="114">1/((1+$X$4/12)^B288)</f>
        <v>0.42518026221326843</v>
      </c>
      <c r="AA288" s="10" t="e">
        <f t="shared" ca="1" si="101"/>
        <v>#VALUE!</v>
      </c>
      <c r="AB288" s="11" t="e">
        <f t="shared" ref="AB288:AB351" si="115">V288/$V$31</f>
        <v>#VALUE!</v>
      </c>
      <c r="AC288" s="11" t="e">
        <f>SUM($S$31:S288)/$V$31</f>
        <v>#VALUE!</v>
      </c>
      <c r="AD288" s="11" t="e">
        <f>SUM($S$31:S288,$R$31:R288,$T$31:T288)/$V$31</f>
        <v>#VALUE!</v>
      </c>
      <c r="AE288" s="11" t="e">
        <f>SUM($M$31:M288)/$V$31</f>
        <v>#VALUE!</v>
      </c>
      <c r="AF288" s="11" t="e">
        <f ca="1">SUM(SUM($M$31:M288),-SUM($T$31:T288))/$V$31</f>
        <v>#VALUE!</v>
      </c>
      <c r="AG288">
        <f t="shared" si="102"/>
        <v>66306</v>
      </c>
    </row>
    <row r="289" spans="2:33" x14ac:dyDescent="0.15">
      <c r="B289" s="1">
        <f t="shared" ref="B289:B352" si="116">B288+1</f>
        <v>258</v>
      </c>
      <c r="C289" s="1">
        <f t="shared" si="103"/>
        <v>258</v>
      </c>
      <c r="D289" s="25">
        <v>3.5522687563964796E-2</v>
      </c>
      <c r="E289" s="2">
        <f t="shared" si="104"/>
        <v>41562.791814756943</v>
      </c>
      <c r="F289" s="3">
        <f t="shared" ref="F289:F352" si="117">MIN(MAX(IF($G$4="Fixed",0,D289)+$H$4,F288-$J$4,$M$4),F288+$K$4,$L$4)</f>
        <v>0.04</v>
      </c>
      <c r="G289" s="2">
        <f t="shared" ref="G289:G352" si="118">IF(C289&lt;=$E$4,MIN(ROUND((E289*(F289/12)*(1+F289/12)^($E$4-C288))/((1+F289/12)^($E$4-C288)-1),4),E289+H289),0)</f>
        <v>477.4153</v>
      </c>
      <c r="H289" s="2">
        <f t="shared" ref="H289:H352" si="119">F289/12*E289</f>
        <v>138.54263938252316</v>
      </c>
      <c r="I289" s="2">
        <f t="shared" ref="I289:I352" si="120">G289-H289</f>
        <v>338.87266061747687</v>
      </c>
      <c r="J289" s="2">
        <f t="shared" si="105"/>
        <v>41223.919154139468</v>
      </c>
      <c r="K289" s="2" t="e">
        <f t="shared" si="99"/>
        <v>#VALUE!</v>
      </c>
      <c r="L289" s="9">
        <v>1.6821425527395739E-3</v>
      </c>
      <c r="M289" s="2" t="e">
        <f t="shared" si="106"/>
        <v>#VALUE!</v>
      </c>
      <c r="N289" s="3">
        <f t="shared" si="107"/>
        <v>0.04</v>
      </c>
      <c r="O289" s="2" t="e">
        <f t="shared" si="108"/>
        <v>#VALUE!</v>
      </c>
      <c r="P289" s="10">
        <f t="shared" si="100"/>
        <v>0.41223919154139471</v>
      </c>
      <c r="Q289" s="13"/>
      <c r="R289" s="2" t="e">
        <f t="shared" ref="R289:R352" si="121">IF(C289&lt;=$E$4,(K289-M289)*P289/P288*Q289,0)</f>
        <v>#VALUE!</v>
      </c>
      <c r="S289" s="2" t="e">
        <f t="shared" ref="S289:S352" si="122">IF(C289&lt;=$E$4,(K289-M289)*(1-P289/P288),0)</f>
        <v>#VALUE!</v>
      </c>
      <c r="T289" s="2" t="e">
        <f t="shared" ca="1" si="109"/>
        <v>#VALUE!</v>
      </c>
      <c r="U289" s="2" t="e">
        <f t="shared" ref="U289:U352" si="123">R289+S289</f>
        <v>#VALUE!</v>
      </c>
      <c r="V289" s="2" t="e">
        <f t="shared" si="110"/>
        <v>#VALUE!</v>
      </c>
      <c r="W289" s="2">
        <f t="shared" si="111"/>
        <v>477.4153</v>
      </c>
      <c r="X289" s="2" t="e">
        <f t="shared" ca="1" si="112"/>
        <v>#VALUE!</v>
      </c>
      <c r="Y289" s="2" t="e">
        <f t="shared" ca="1" si="113"/>
        <v>#VALUE!</v>
      </c>
      <c r="Z289" s="10">
        <f t="shared" si="114"/>
        <v>0.42376770320295454</v>
      </c>
      <c r="AA289" s="10" t="e">
        <f t="shared" ca="1" si="101"/>
        <v>#VALUE!</v>
      </c>
      <c r="AB289" s="11" t="e">
        <f t="shared" si="115"/>
        <v>#VALUE!</v>
      </c>
      <c r="AC289" s="11" t="e">
        <f>SUM($S$31:S289)/$V$31</f>
        <v>#VALUE!</v>
      </c>
      <c r="AD289" s="11" t="e">
        <f>SUM($S$31:S289,$R$31:R289,$T$31:T289)/$V$31</f>
        <v>#VALUE!</v>
      </c>
      <c r="AE289" s="11" t="e">
        <f>SUM($M$31:M289)/$V$31</f>
        <v>#VALUE!</v>
      </c>
      <c r="AF289" s="11" t="e">
        <f ca="1">SUM(SUM($M$31:M289),-SUM($T$31:T289))/$V$31</f>
        <v>#VALUE!</v>
      </c>
      <c r="AG289">
        <f t="shared" si="102"/>
        <v>66822</v>
      </c>
    </row>
    <row r="290" spans="2:33" x14ac:dyDescent="0.15">
      <c r="B290" s="1">
        <f t="shared" si="116"/>
        <v>259</v>
      </c>
      <c r="C290" s="1">
        <f t="shared" si="103"/>
        <v>259</v>
      </c>
      <c r="D290" s="25">
        <v>3.5509923541417597E-2</v>
      </c>
      <c r="E290" s="2">
        <f t="shared" si="104"/>
        <v>41223.919154139468</v>
      </c>
      <c r="F290" s="3">
        <f t="shared" si="117"/>
        <v>0.04</v>
      </c>
      <c r="G290" s="2">
        <f t="shared" si="118"/>
        <v>477.4153</v>
      </c>
      <c r="H290" s="2">
        <f t="shared" si="119"/>
        <v>137.41306384713158</v>
      </c>
      <c r="I290" s="2">
        <f t="shared" si="120"/>
        <v>340.00223615286842</v>
      </c>
      <c r="J290" s="2">
        <f t="shared" si="105"/>
        <v>40883.9169179866</v>
      </c>
      <c r="K290" s="2" t="e">
        <f t="shared" ref="K290:K353" si="124">V289</f>
        <v>#VALUE!</v>
      </c>
      <c r="L290" s="9">
        <v>1.6821425527395739E-3</v>
      </c>
      <c r="M290" s="2" t="e">
        <f t="shared" si="106"/>
        <v>#VALUE!</v>
      </c>
      <c r="N290" s="3">
        <f t="shared" si="107"/>
        <v>0.04</v>
      </c>
      <c r="O290" s="2" t="e">
        <f t="shared" si="108"/>
        <v>#VALUE!</v>
      </c>
      <c r="P290" s="10">
        <f t="shared" si="100"/>
        <v>0.40883916917986601</v>
      </c>
      <c r="Q290" s="13"/>
      <c r="R290" s="2" t="e">
        <f t="shared" si="121"/>
        <v>#VALUE!</v>
      </c>
      <c r="S290" s="2" t="e">
        <f t="shared" si="122"/>
        <v>#VALUE!</v>
      </c>
      <c r="T290" s="2" t="e">
        <f t="shared" ca="1" si="109"/>
        <v>#VALUE!</v>
      </c>
      <c r="U290" s="2" t="e">
        <f t="shared" si="123"/>
        <v>#VALUE!</v>
      </c>
      <c r="V290" s="2" t="e">
        <f t="shared" si="110"/>
        <v>#VALUE!</v>
      </c>
      <c r="W290" s="2">
        <f t="shared" si="111"/>
        <v>477.4153</v>
      </c>
      <c r="X290" s="2" t="e">
        <f t="shared" ca="1" si="112"/>
        <v>#VALUE!</v>
      </c>
      <c r="Y290" s="2" t="e">
        <f t="shared" ca="1" si="113"/>
        <v>#VALUE!</v>
      </c>
      <c r="Z290" s="10">
        <f t="shared" si="114"/>
        <v>0.42235983707971686</v>
      </c>
      <c r="AA290" s="10" t="e">
        <f t="shared" ca="1" si="101"/>
        <v>#VALUE!</v>
      </c>
      <c r="AB290" s="11" t="e">
        <f t="shared" si="115"/>
        <v>#VALUE!</v>
      </c>
      <c r="AC290" s="11" t="e">
        <f>SUM($S$31:S290)/$V$31</f>
        <v>#VALUE!</v>
      </c>
      <c r="AD290" s="11" t="e">
        <f>SUM($S$31:S290,$R$31:R290,$T$31:T290)/$V$31</f>
        <v>#VALUE!</v>
      </c>
      <c r="AE290" s="11" t="e">
        <f>SUM($M$31:M290)/$V$31</f>
        <v>#VALUE!</v>
      </c>
      <c r="AF290" s="11" t="e">
        <f ca="1">SUM(SUM($M$31:M290),-SUM($T$31:T290))/$V$31</f>
        <v>#VALUE!</v>
      </c>
      <c r="AG290">
        <f t="shared" si="102"/>
        <v>67340</v>
      </c>
    </row>
    <row r="291" spans="2:33" x14ac:dyDescent="0.15">
      <c r="B291" s="1">
        <f t="shared" si="116"/>
        <v>260</v>
      </c>
      <c r="C291" s="1">
        <f t="shared" si="103"/>
        <v>260</v>
      </c>
      <c r="D291" s="25">
        <v>3.5495941423294999E-2</v>
      </c>
      <c r="E291" s="2">
        <f t="shared" si="104"/>
        <v>40883.9169179866</v>
      </c>
      <c r="F291" s="3">
        <f t="shared" si="117"/>
        <v>0.04</v>
      </c>
      <c r="G291" s="2">
        <f t="shared" si="118"/>
        <v>477.4153</v>
      </c>
      <c r="H291" s="2">
        <f t="shared" si="119"/>
        <v>136.27972305995533</v>
      </c>
      <c r="I291" s="2">
        <f t="shared" si="120"/>
        <v>341.13557694004464</v>
      </c>
      <c r="J291" s="2">
        <f t="shared" si="105"/>
        <v>40542.781341046553</v>
      </c>
      <c r="K291" s="2" t="e">
        <f t="shared" si="124"/>
        <v>#VALUE!</v>
      </c>
      <c r="L291" s="9">
        <v>1.6821425527395739E-3</v>
      </c>
      <c r="M291" s="2" t="e">
        <f t="shared" si="106"/>
        <v>#VALUE!</v>
      </c>
      <c r="N291" s="3">
        <f t="shared" si="107"/>
        <v>0.04</v>
      </c>
      <c r="O291" s="2" t="e">
        <f t="shared" si="108"/>
        <v>#VALUE!</v>
      </c>
      <c r="P291" s="10">
        <f t="shared" si="100"/>
        <v>0.40542781341046552</v>
      </c>
      <c r="Q291" s="13"/>
      <c r="R291" s="2" t="e">
        <f t="shared" si="121"/>
        <v>#VALUE!</v>
      </c>
      <c r="S291" s="2" t="e">
        <f t="shared" si="122"/>
        <v>#VALUE!</v>
      </c>
      <c r="T291" s="2" t="e">
        <f t="shared" ca="1" si="109"/>
        <v>#VALUE!</v>
      </c>
      <c r="U291" s="2" t="e">
        <f t="shared" si="123"/>
        <v>#VALUE!</v>
      </c>
      <c r="V291" s="2" t="e">
        <f t="shared" si="110"/>
        <v>#VALUE!</v>
      </c>
      <c r="W291" s="2">
        <f t="shared" si="111"/>
        <v>477.4153</v>
      </c>
      <c r="X291" s="2" t="e">
        <f t="shared" ca="1" si="112"/>
        <v>#VALUE!</v>
      </c>
      <c r="Y291" s="2" t="e">
        <f t="shared" ca="1" si="113"/>
        <v>#VALUE!</v>
      </c>
      <c r="Z291" s="10">
        <f t="shared" si="114"/>
        <v>0.42095664825256851</v>
      </c>
      <c r="AA291" s="10" t="e">
        <f t="shared" ca="1" si="101"/>
        <v>#VALUE!</v>
      </c>
      <c r="AB291" s="11" t="e">
        <f t="shared" si="115"/>
        <v>#VALUE!</v>
      </c>
      <c r="AC291" s="11" t="e">
        <f>SUM($S$31:S291)/$V$31</f>
        <v>#VALUE!</v>
      </c>
      <c r="AD291" s="11" t="e">
        <f>SUM($S$31:S291,$R$31:R291,$T$31:T291)/$V$31</f>
        <v>#VALUE!</v>
      </c>
      <c r="AE291" s="11" t="e">
        <f>SUM($M$31:M291)/$V$31</f>
        <v>#VALUE!</v>
      </c>
      <c r="AF291" s="11" t="e">
        <f ca="1">SUM(SUM($M$31:M291),-SUM($T$31:T291))/$V$31</f>
        <v>#VALUE!</v>
      </c>
      <c r="AG291">
        <f t="shared" si="102"/>
        <v>67860</v>
      </c>
    </row>
    <row r="292" spans="2:33" x14ac:dyDescent="0.15">
      <c r="B292" s="1">
        <f t="shared" si="116"/>
        <v>261</v>
      </c>
      <c r="C292" s="1">
        <f t="shared" si="103"/>
        <v>261</v>
      </c>
      <c r="D292" s="25">
        <v>3.5485841362338497E-2</v>
      </c>
      <c r="E292" s="2">
        <f t="shared" si="104"/>
        <v>40542.781341046553</v>
      </c>
      <c r="F292" s="3">
        <f t="shared" si="117"/>
        <v>0.04</v>
      </c>
      <c r="G292" s="2">
        <f t="shared" si="118"/>
        <v>477.4153</v>
      </c>
      <c r="H292" s="2">
        <f t="shared" si="119"/>
        <v>135.14260447015519</v>
      </c>
      <c r="I292" s="2">
        <f t="shared" si="120"/>
        <v>342.27269552984478</v>
      </c>
      <c r="J292" s="2">
        <f t="shared" si="105"/>
        <v>40200.508645516711</v>
      </c>
      <c r="K292" s="2" t="e">
        <f t="shared" si="124"/>
        <v>#VALUE!</v>
      </c>
      <c r="L292" s="9">
        <v>1.6821425527395739E-3</v>
      </c>
      <c r="M292" s="2" t="e">
        <f t="shared" si="106"/>
        <v>#VALUE!</v>
      </c>
      <c r="N292" s="3">
        <f t="shared" si="107"/>
        <v>0.04</v>
      </c>
      <c r="O292" s="2" t="e">
        <f t="shared" si="108"/>
        <v>#VALUE!</v>
      </c>
      <c r="P292" s="10">
        <f t="shared" si="100"/>
        <v>0.40200508645516714</v>
      </c>
      <c r="Q292" s="13"/>
      <c r="R292" s="2" t="e">
        <f t="shared" si="121"/>
        <v>#VALUE!</v>
      </c>
      <c r="S292" s="2" t="e">
        <f t="shared" si="122"/>
        <v>#VALUE!</v>
      </c>
      <c r="T292" s="2" t="e">
        <f t="shared" ca="1" si="109"/>
        <v>#VALUE!</v>
      </c>
      <c r="U292" s="2" t="e">
        <f t="shared" si="123"/>
        <v>#VALUE!</v>
      </c>
      <c r="V292" s="2" t="e">
        <f t="shared" si="110"/>
        <v>#VALUE!</v>
      </c>
      <c r="W292" s="2">
        <f t="shared" si="111"/>
        <v>477.4153</v>
      </c>
      <c r="X292" s="2" t="e">
        <f t="shared" ca="1" si="112"/>
        <v>#VALUE!</v>
      </c>
      <c r="Y292" s="2" t="e">
        <f t="shared" ca="1" si="113"/>
        <v>#VALUE!</v>
      </c>
      <c r="Z292" s="10">
        <f t="shared" si="114"/>
        <v>0.41955812118231983</v>
      </c>
      <c r="AA292" s="10" t="e">
        <f t="shared" ca="1" si="101"/>
        <v>#VALUE!</v>
      </c>
      <c r="AB292" s="11" t="e">
        <f t="shared" si="115"/>
        <v>#VALUE!</v>
      </c>
      <c r="AC292" s="11" t="e">
        <f>SUM($S$31:S292)/$V$31</f>
        <v>#VALUE!</v>
      </c>
      <c r="AD292" s="11" t="e">
        <f>SUM($S$31:S292,$R$31:R292,$T$31:T292)/$V$31</f>
        <v>#VALUE!</v>
      </c>
      <c r="AE292" s="11" t="e">
        <f>SUM($M$31:M292)/$V$31</f>
        <v>#VALUE!</v>
      </c>
      <c r="AF292" s="11" t="e">
        <f ca="1">SUM(SUM($M$31:M292),-SUM($T$31:T292))/$V$31</f>
        <v>#VALUE!</v>
      </c>
      <c r="AG292">
        <f t="shared" si="102"/>
        <v>68382</v>
      </c>
    </row>
    <row r="293" spans="2:33" x14ac:dyDescent="0.15">
      <c r="B293" s="1">
        <f t="shared" si="116"/>
        <v>262</v>
      </c>
      <c r="C293" s="1">
        <f t="shared" si="103"/>
        <v>262</v>
      </c>
      <c r="D293" s="25">
        <v>3.5472547226457499E-2</v>
      </c>
      <c r="E293" s="2">
        <f t="shared" si="104"/>
        <v>40200.508645516711</v>
      </c>
      <c r="F293" s="3">
        <f t="shared" si="117"/>
        <v>0.04</v>
      </c>
      <c r="G293" s="2">
        <f t="shared" si="118"/>
        <v>477.4153</v>
      </c>
      <c r="H293" s="2">
        <f t="shared" si="119"/>
        <v>134.00169548505571</v>
      </c>
      <c r="I293" s="2">
        <f t="shared" si="120"/>
        <v>343.41360451494427</v>
      </c>
      <c r="J293" s="2">
        <f t="shared" si="105"/>
        <v>39857.095041001769</v>
      </c>
      <c r="K293" s="2" t="e">
        <f t="shared" si="124"/>
        <v>#VALUE!</v>
      </c>
      <c r="L293" s="9">
        <v>1.6821425527395739E-3</v>
      </c>
      <c r="M293" s="2" t="e">
        <f t="shared" si="106"/>
        <v>#VALUE!</v>
      </c>
      <c r="N293" s="3">
        <f t="shared" si="107"/>
        <v>0.04</v>
      </c>
      <c r="O293" s="2" t="e">
        <f t="shared" si="108"/>
        <v>#VALUE!</v>
      </c>
      <c r="P293" s="10">
        <f t="shared" si="100"/>
        <v>0.39857095041001767</v>
      </c>
      <c r="Q293" s="13"/>
      <c r="R293" s="2" t="e">
        <f t="shared" si="121"/>
        <v>#VALUE!</v>
      </c>
      <c r="S293" s="2" t="e">
        <f t="shared" si="122"/>
        <v>#VALUE!</v>
      </c>
      <c r="T293" s="2" t="e">
        <f t="shared" ca="1" si="109"/>
        <v>#VALUE!</v>
      </c>
      <c r="U293" s="2" t="e">
        <f t="shared" si="123"/>
        <v>#VALUE!</v>
      </c>
      <c r="V293" s="2" t="e">
        <f t="shared" si="110"/>
        <v>#VALUE!</v>
      </c>
      <c r="W293" s="2">
        <f t="shared" si="111"/>
        <v>477.4153</v>
      </c>
      <c r="X293" s="2" t="e">
        <f t="shared" ca="1" si="112"/>
        <v>#VALUE!</v>
      </c>
      <c r="Y293" s="2" t="e">
        <f t="shared" ca="1" si="113"/>
        <v>#VALUE!</v>
      </c>
      <c r="Z293" s="10">
        <f t="shared" si="114"/>
        <v>0.4181642403814062</v>
      </c>
      <c r="AA293" s="10" t="e">
        <f t="shared" ca="1" si="101"/>
        <v>#VALUE!</v>
      </c>
      <c r="AB293" s="11" t="e">
        <f t="shared" si="115"/>
        <v>#VALUE!</v>
      </c>
      <c r="AC293" s="11" t="e">
        <f>SUM($S$31:S293)/$V$31</f>
        <v>#VALUE!</v>
      </c>
      <c r="AD293" s="11" t="e">
        <f>SUM($S$31:S293,$R$31:R293,$T$31:T293)/$V$31</f>
        <v>#VALUE!</v>
      </c>
      <c r="AE293" s="11" t="e">
        <f>SUM($M$31:M293)/$V$31</f>
        <v>#VALUE!</v>
      </c>
      <c r="AF293" s="11" t="e">
        <f ca="1">SUM(SUM($M$31:M293),-SUM($T$31:T293))/$V$31</f>
        <v>#VALUE!</v>
      </c>
      <c r="AG293">
        <f t="shared" si="102"/>
        <v>68906</v>
      </c>
    </row>
    <row r="294" spans="2:33" x14ac:dyDescent="0.15">
      <c r="B294" s="1">
        <f t="shared" si="116"/>
        <v>263</v>
      </c>
      <c r="C294" s="1">
        <f t="shared" si="103"/>
        <v>263</v>
      </c>
      <c r="D294" s="25">
        <v>3.54631305136777E-2</v>
      </c>
      <c r="E294" s="2">
        <f t="shared" si="104"/>
        <v>39857.095041001769</v>
      </c>
      <c r="F294" s="3">
        <f t="shared" si="117"/>
        <v>0.04</v>
      </c>
      <c r="G294" s="2">
        <f t="shared" si="118"/>
        <v>477.4153</v>
      </c>
      <c r="H294" s="2">
        <f t="shared" si="119"/>
        <v>132.8569834700059</v>
      </c>
      <c r="I294" s="2">
        <f t="shared" si="120"/>
        <v>344.5583165299941</v>
      </c>
      <c r="J294" s="2">
        <f t="shared" si="105"/>
        <v>39512.536724471771</v>
      </c>
      <c r="K294" s="2" t="e">
        <f t="shared" si="124"/>
        <v>#VALUE!</v>
      </c>
      <c r="L294" s="9">
        <v>1.6821425527395739E-3</v>
      </c>
      <c r="M294" s="2" t="e">
        <f t="shared" si="106"/>
        <v>#VALUE!</v>
      </c>
      <c r="N294" s="3">
        <f t="shared" si="107"/>
        <v>0.04</v>
      </c>
      <c r="O294" s="2" t="e">
        <f t="shared" si="108"/>
        <v>#VALUE!</v>
      </c>
      <c r="P294" s="10">
        <f t="shared" si="100"/>
        <v>0.3951253672447177</v>
      </c>
      <c r="Q294" s="13"/>
      <c r="R294" s="2" t="e">
        <f t="shared" si="121"/>
        <v>#VALUE!</v>
      </c>
      <c r="S294" s="2" t="e">
        <f t="shared" si="122"/>
        <v>#VALUE!</v>
      </c>
      <c r="T294" s="2" t="e">
        <f t="shared" ca="1" si="109"/>
        <v>#VALUE!</v>
      </c>
      <c r="U294" s="2" t="e">
        <f t="shared" si="123"/>
        <v>#VALUE!</v>
      </c>
      <c r="V294" s="2" t="e">
        <f t="shared" si="110"/>
        <v>#VALUE!</v>
      </c>
      <c r="W294" s="2">
        <f t="shared" si="111"/>
        <v>477.4153</v>
      </c>
      <c r="X294" s="2" t="e">
        <f t="shared" ca="1" si="112"/>
        <v>#VALUE!</v>
      </c>
      <c r="Y294" s="2" t="e">
        <f t="shared" ca="1" si="113"/>
        <v>#VALUE!</v>
      </c>
      <c r="Z294" s="10">
        <f t="shared" si="114"/>
        <v>0.41677499041371707</v>
      </c>
      <c r="AA294" s="10" t="e">
        <f t="shared" ca="1" si="101"/>
        <v>#VALUE!</v>
      </c>
      <c r="AB294" s="11" t="e">
        <f t="shared" si="115"/>
        <v>#VALUE!</v>
      </c>
      <c r="AC294" s="11" t="e">
        <f>SUM($S$31:S294)/$V$31</f>
        <v>#VALUE!</v>
      </c>
      <c r="AD294" s="11" t="e">
        <f>SUM($S$31:S294,$R$31:R294,$T$31:T294)/$V$31</f>
        <v>#VALUE!</v>
      </c>
      <c r="AE294" s="11" t="e">
        <f>SUM($M$31:M294)/$V$31</f>
        <v>#VALUE!</v>
      </c>
      <c r="AF294" s="11" t="e">
        <f ca="1">SUM(SUM($M$31:M294),-SUM($T$31:T294))/$V$31</f>
        <v>#VALUE!</v>
      </c>
      <c r="AG294">
        <f t="shared" si="102"/>
        <v>69432</v>
      </c>
    </row>
    <row r="295" spans="2:33" x14ac:dyDescent="0.15">
      <c r="B295" s="1">
        <f t="shared" si="116"/>
        <v>264</v>
      </c>
      <c r="C295" s="1">
        <f t="shared" si="103"/>
        <v>264</v>
      </c>
      <c r="D295" s="25">
        <v>3.5452114467648101E-2</v>
      </c>
      <c r="E295" s="2">
        <f t="shared" si="104"/>
        <v>39512.536724471771</v>
      </c>
      <c r="F295" s="3">
        <f t="shared" si="117"/>
        <v>0.04</v>
      </c>
      <c r="G295" s="2">
        <f t="shared" si="118"/>
        <v>477.4153</v>
      </c>
      <c r="H295" s="2">
        <f t="shared" si="119"/>
        <v>131.70845574823923</v>
      </c>
      <c r="I295" s="2">
        <f t="shared" si="120"/>
        <v>345.7068442517608</v>
      </c>
      <c r="J295" s="2">
        <f t="shared" si="105"/>
        <v>39166.829880220008</v>
      </c>
      <c r="K295" s="2" t="e">
        <f t="shared" si="124"/>
        <v>#VALUE!</v>
      </c>
      <c r="L295" s="9">
        <v>1.6821425527395739E-3</v>
      </c>
      <c r="M295" s="2" t="e">
        <f t="shared" si="106"/>
        <v>#VALUE!</v>
      </c>
      <c r="N295" s="3">
        <f t="shared" si="107"/>
        <v>0.04</v>
      </c>
      <c r="O295" s="2" t="e">
        <f t="shared" si="108"/>
        <v>#VALUE!</v>
      </c>
      <c r="P295" s="10">
        <f t="shared" si="100"/>
        <v>0.39166829880220005</v>
      </c>
      <c r="Q295" s="13"/>
      <c r="R295" s="2" t="e">
        <f t="shared" si="121"/>
        <v>#VALUE!</v>
      </c>
      <c r="S295" s="2" t="e">
        <f t="shared" si="122"/>
        <v>#VALUE!</v>
      </c>
      <c r="T295" s="2" t="e">
        <f t="shared" ca="1" si="109"/>
        <v>#VALUE!</v>
      </c>
      <c r="U295" s="2" t="e">
        <f t="shared" si="123"/>
        <v>#VALUE!</v>
      </c>
      <c r="V295" s="2" t="e">
        <f t="shared" si="110"/>
        <v>#VALUE!</v>
      </c>
      <c r="W295" s="2">
        <f t="shared" si="111"/>
        <v>477.4153</v>
      </c>
      <c r="X295" s="2" t="e">
        <f t="shared" ca="1" si="112"/>
        <v>#VALUE!</v>
      </c>
      <c r="Y295" s="2" t="e">
        <f t="shared" ca="1" si="113"/>
        <v>#VALUE!</v>
      </c>
      <c r="Z295" s="10">
        <f t="shared" si="114"/>
        <v>0.41539035589442447</v>
      </c>
      <c r="AA295" s="10" t="e">
        <f t="shared" ca="1" si="101"/>
        <v>#VALUE!</v>
      </c>
      <c r="AB295" s="11" t="e">
        <f t="shared" si="115"/>
        <v>#VALUE!</v>
      </c>
      <c r="AC295" s="11" t="e">
        <f>SUM($S$31:S295)/$V$31</f>
        <v>#VALUE!</v>
      </c>
      <c r="AD295" s="11" t="e">
        <f>SUM($S$31:S295,$R$31:R295,$T$31:T295)/$V$31</f>
        <v>#VALUE!</v>
      </c>
      <c r="AE295" s="11" t="e">
        <f>SUM($M$31:M295)/$V$31</f>
        <v>#VALUE!</v>
      </c>
      <c r="AF295" s="11" t="e">
        <f ca="1">SUM(SUM($M$31:M295),-SUM($T$31:T295))/$V$31</f>
        <v>#VALUE!</v>
      </c>
      <c r="AG295">
        <f t="shared" si="102"/>
        <v>69960</v>
      </c>
    </row>
    <row r="296" spans="2:33" x14ac:dyDescent="0.15">
      <c r="B296" s="1">
        <f t="shared" si="116"/>
        <v>265</v>
      </c>
      <c r="C296" s="1">
        <f t="shared" si="103"/>
        <v>265</v>
      </c>
      <c r="D296" s="25">
        <v>3.54366684822182E-2</v>
      </c>
      <c r="E296" s="2">
        <f t="shared" si="104"/>
        <v>39166.829880220008</v>
      </c>
      <c r="F296" s="3">
        <f t="shared" si="117"/>
        <v>0.04</v>
      </c>
      <c r="G296" s="2">
        <f t="shared" si="118"/>
        <v>477.4153</v>
      </c>
      <c r="H296" s="2">
        <f t="shared" si="119"/>
        <v>130.55609960073338</v>
      </c>
      <c r="I296" s="2">
        <f t="shared" si="120"/>
        <v>346.85920039926663</v>
      </c>
      <c r="J296" s="2">
        <f t="shared" si="105"/>
        <v>38819.970679820741</v>
      </c>
      <c r="K296" s="2" t="e">
        <f t="shared" si="124"/>
        <v>#VALUE!</v>
      </c>
      <c r="L296" s="9">
        <v>1.6821425527395739E-3</v>
      </c>
      <c r="M296" s="2" t="e">
        <f t="shared" si="106"/>
        <v>#VALUE!</v>
      </c>
      <c r="N296" s="3">
        <f t="shared" si="107"/>
        <v>0.04</v>
      </c>
      <c r="O296" s="2" t="e">
        <f t="shared" si="108"/>
        <v>#VALUE!</v>
      </c>
      <c r="P296" s="10">
        <f t="shared" si="100"/>
        <v>0.38819970679820742</v>
      </c>
      <c r="Q296" s="13"/>
      <c r="R296" s="2" t="e">
        <f t="shared" si="121"/>
        <v>#VALUE!</v>
      </c>
      <c r="S296" s="2" t="e">
        <f t="shared" si="122"/>
        <v>#VALUE!</v>
      </c>
      <c r="T296" s="2" t="e">
        <f t="shared" ca="1" si="109"/>
        <v>#VALUE!</v>
      </c>
      <c r="U296" s="2" t="e">
        <f t="shared" si="123"/>
        <v>#VALUE!</v>
      </c>
      <c r="V296" s="2" t="e">
        <f t="shared" si="110"/>
        <v>#VALUE!</v>
      </c>
      <c r="W296" s="2">
        <f t="shared" si="111"/>
        <v>477.4153</v>
      </c>
      <c r="X296" s="2" t="e">
        <f t="shared" ca="1" si="112"/>
        <v>#VALUE!</v>
      </c>
      <c r="Y296" s="2" t="e">
        <f t="shared" ca="1" si="113"/>
        <v>#VALUE!</v>
      </c>
      <c r="Z296" s="10">
        <f t="shared" si="114"/>
        <v>0.41401032148981276</v>
      </c>
      <c r="AA296" s="10" t="e">
        <f t="shared" ca="1" si="101"/>
        <v>#VALUE!</v>
      </c>
      <c r="AB296" s="11" t="e">
        <f t="shared" si="115"/>
        <v>#VALUE!</v>
      </c>
      <c r="AC296" s="11" t="e">
        <f>SUM($S$31:S296)/$V$31</f>
        <v>#VALUE!</v>
      </c>
      <c r="AD296" s="11" t="e">
        <f>SUM($S$31:S296,$R$31:R296,$T$31:T296)/$V$31</f>
        <v>#VALUE!</v>
      </c>
      <c r="AE296" s="11" t="e">
        <f>SUM($M$31:M296)/$V$31</f>
        <v>#VALUE!</v>
      </c>
      <c r="AF296" s="11" t="e">
        <f ca="1">SUM(SUM($M$31:M296),-SUM($T$31:T296))/$V$31</f>
        <v>#VALUE!</v>
      </c>
      <c r="AG296">
        <f t="shared" si="102"/>
        <v>70490</v>
      </c>
    </row>
    <row r="297" spans="2:33" x14ac:dyDescent="0.15">
      <c r="B297" s="1">
        <f t="shared" si="116"/>
        <v>266</v>
      </c>
      <c r="C297" s="1">
        <f t="shared" si="103"/>
        <v>266</v>
      </c>
      <c r="D297" s="25">
        <v>3.5432126903994901E-2</v>
      </c>
      <c r="E297" s="2">
        <f t="shared" si="104"/>
        <v>38819.970679820741</v>
      </c>
      <c r="F297" s="3">
        <f t="shared" si="117"/>
        <v>0.04</v>
      </c>
      <c r="G297" s="2">
        <f t="shared" si="118"/>
        <v>477.4153</v>
      </c>
      <c r="H297" s="2">
        <f t="shared" si="119"/>
        <v>129.39990226606915</v>
      </c>
      <c r="I297" s="2">
        <f t="shared" si="120"/>
        <v>348.01539773393085</v>
      </c>
      <c r="J297" s="2">
        <f t="shared" si="105"/>
        <v>38471.955282086812</v>
      </c>
      <c r="K297" s="2" t="e">
        <f t="shared" si="124"/>
        <v>#VALUE!</v>
      </c>
      <c r="L297" s="9">
        <v>1.6821425527395739E-3</v>
      </c>
      <c r="M297" s="2" t="e">
        <f t="shared" si="106"/>
        <v>#VALUE!</v>
      </c>
      <c r="N297" s="3">
        <f t="shared" si="107"/>
        <v>0.04</v>
      </c>
      <c r="O297" s="2" t="e">
        <f t="shared" si="108"/>
        <v>#VALUE!</v>
      </c>
      <c r="P297" s="10">
        <f t="shared" si="100"/>
        <v>0.38471955282086812</v>
      </c>
      <c r="Q297" s="13"/>
      <c r="R297" s="2" t="e">
        <f t="shared" si="121"/>
        <v>#VALUE!</v>
      </c>
      <c r="S297" s="2" t="e">
        <f t="shared" si="122"/>
        <v>#VALUE!</v>
      </c>
      <c r="T297" s="2" t="e">
        <f t="shared" ca="1" si="109"/>
        <v>#VALUE!</v>
      </c>
      <c r="U297" s="2" t="e">
        <f t="shared" si="123"/>
        <v>#VALUE!</v>
      </c>
      <c r="V297" s="2" t="e">
        <f t="shared" si="110"/>
        <v>#VALUE!</v>
      </c>
      <c r="W297" s="2">
        <f t="shared" si="111"/>
        <v>477.4153</v>
      </c>
      <c r="X297" s="2" t="e">
        <f t="shared" ca="1" si="112"/>
        <v>#VALUE!</v>
      </c>
      <c r="Y297" s="2" t="e">
        <f t="shared" ca="1" si="113"/>
        <v>#VALUE!</v>
      </c>
      <c r="Z297" s="10">
        <f t="shared" si="114"/>
        <v>0.41263487191710874</v>
      </c>
      <c r="AA297" s="10" t="e">
        <f t="shared" ca="1" si="101"/>
        <v>#VALUE!</v>
      </c>
      <c r="AB297" s="11" t="e">
        <f t="shared" si="115"/>
        <v>#VALUE!</v>
      </c>
      <c r="AC297" s="11" t="e">
        <f>SUM($S$31:S297)/$V$31</f>
        <v>#VALUE!</v>
      </c>
      <c r="AD297" s="11" t="e">
        <f>SUM($S$31:S297,$R$31:R297,$T$31:T297)/$V$31</f>
        <v>#VALUE!</v>
      </c>
      <c r="AE297" s="11" t="e">
        <f>SUM($M$31:M297)/$V$31</f>
        <v>#VALUE!</v>
      </c>
      <c r="AF297" s="11" t="e">
        <f ca="1">SUM(SUM($M$31:M297),-SUM($T$31:T297))/$V$31</f>
        <v>#VALUE!</v>
      </c>
      <c r="AG297">
        <f t="shared" si="102"/>
        <v>71022</v>
      </c>
    </row>
    <row r="298" spans="2:33" x14ac:dyDescent="0.15">
      <c r="B298" s="1">
        <f t="shared" si="116"/>
        <v>267</v>
      </c>
      <c r="C298" s="1">
        <f t="shared" si="103"/>
        <v>267</v>
      </c>
      <c r="D298" s="25">
        <v>3.54205351997776E-2</v>
      </c>
      <c r="E298" s="2">
        <f t="shared" si="104"/>
        <v>38471.955282086812</v>
      </c>
      <c r="F298" s="3">
        <f t="shared" si="117"/>
        <v>0.04</v>
      </c>
      <c r="G298" s="2">
        <f t="shared" si="118"/>
        <v>477.4153</v>
      </c>
      <c r="H298" s="2">
        <f t="shared" si="119"/>
        <v>128.23985094028939</v>
      </c>
      <c r="I298" s="2">
        <f t="shared" si="120"/>
        <v>349.17544905971062</v>
      </c>
      <c r="J298" s="2">
        <f t="shared" si="105"/>
        <v>38122.779833027103</v>
      </c>
      <c r="K298" s="2" t="e">
        <f t="shared" si="124"/>
        <v>#VALUE!</v>
      </c>
      <c r="L298" s="9">
        <v>1.6821425527395739E-3</v>
      </c>
      <c r="M298" s="2" t="e">
        <f t="shared" si="106"/>
        <v>#VALUE!</v>
      </c>
      <c r="N298" s="3">
        <f t="shared" si="107"/>
        <v>0.04</v>
      </c>
      <c r="O298" s="2" t="e">
        <f t="shared" si="108"/>
        <v>#VALUE!</v>
      </c>
      <c r="P298" s="10">
        <f t="shared" si="100"/>
        <v>0.38122779833027104</v>
      </c>
      <c r="Q298" s="13"/>
      <c r="R298" s="2" t="e">
        <f t="shared" si="121"/>
        <v>#VALUE!</v>
      </c>
      <c r="S298" s="2" t="e">
        <f t="shared" si="122"/>
        <v>#VALUE!</v>
      </c>
      <c r="T298" s="2" t="e">
        <f t="shared" ca="1" si="109"/>
        <v>#VALUE!</v>
      </c>
      <c r="U298" s="2" t="e">
        <f t="shared" si="123"/>
        <v>#VALUE!</v>
      </c>
      <c r="V298" s="2" t="e">
        <f t="shared" si="110"/>
        <v>#VALUE!</v>
      </c>
      <c r="W298" s="2">
        <f t="shared" si="111"/>
        <v>477.4153</v>
      </c>
      <c r="X298" s="2" t="e">
        <f t="shared" ca="1" si="112"/>
        <v>#VALUE!</v>
      </c>
      <c r="Y298" s="2" t="e">
        <f t="shared" ca="1" si="113"/>
        <v>#VALUE!</v>
      </c>
      <c r="Z298" s="10">
        <f t="shared" si="114"/>
        <v>0.41126399194431301</v>
      </c>
      <c r="AA298" s="10" t="e">
        <f t="shared" ca="1" si="101"/>
        <v>#VALUE!</v>
      </c>
      <c r="AB298" s="11" t="e">
        <f t="shared" si="115"/>
        <v>#VALUE!</v>
      </c>
      <c r="AC298" s="11" t="e">
        <f>SUM($S$31:S298)/$V$31</f>
        <v>#VALUE!</v>
      </c>
      <c r="AD298" s="11" t="e">
        <f>SUM($S$31:S298,$R$31:R298,$T$31:T298)/$V$31</f>
        <v>#VALUE!</v>
      </c>
      <c r="AE298" s="11" t="e">
        <f>SUM($M$31:M298)/$V$31</f>
        <v>#VALUE!</v>
      </c>
      <c r="AF298" s="11" t="e">
        <f ca="1">SUM(SUM($M$31:M298),-SUM($T$31:T298))/$V$31</f>
        <v>#VALUE!</v>
      </c>
      <c r="AG298">
        <f t="shared" si="102"/>
        <v>71556</v>
      </c>
    </row>
    <row r="299" spans="2:33" x14ac:dyDescent="0.15">
      <c r="B299" s="1">
        <f t="shared" si="116"/>
        <v>268</v>
      </c>
      <c r="C299" s="1">
        <f t="shared" si="103"/>
        <v>268</v>
      </c>
      <c r="D299" s="25">
        <v>3.5412810626667998E-2</v>
      </c>
      <c r="E299" s="2">
        <f t="shared" si="104"/>
        <v>38122.779833027103</v>
      </c>
      <c r="F299" s="3">
        <f t="shared" si="117"/>
        <v>0.04</v>
      </c>
      <c r="G299" s="2">
        <f t="shared" si="118"/>
        <v>477.4153</v>
      </c>
      <c r="H299" s="2">
        <f t="shared" si="119"/>
        <v>127.07593277675701</v>
      </c>
      <c r="I299" s="2">
        <f t="shared" si="120"/>
        <v>350.33936722324302</v>
      </c>
      <c r="J299" s="2">
        <f t="shared" si="105"/>
        <v>37772.440465803862</v>
      </c>
      <c r="K299" s="2" t="e">
        <f t="shared" si="124"/>
        <v>#VALUE!</v>
      </c>
      <c r="L299" s="9">
        <v>1.6821425527395739E-3</v>
      </c>
      <c r="M299" s="2" t="e">
        <f t="shared" si="106"/>
        <v>#VALUE!</v>
      </c>
      <c r="N299" s="3">
        <f t="shared" si="107"/>
        <v>0.04</v>
      </c>
      <c r="O299" s="2" t="e">
        <f t="shared" si="108"/>
        <v>#VALUE!</v>
      </c>
      <c r="P299" s="10">
        <f t="shared" si="100"/>
        <v>0.37772440465803864</v>
      </c>
      <c r="Q299" s="13"/>
      <c r="R299" s="2" t="e">
        <f t="shared" si="121"/>
        <v>#VALUE!</v>
      </c>
      <c r="S299" s="2" t="e">
        <f t="shared" si="122"/>
        <v>#VALUE!</v>
      </c>
      <c r="T299" s="2" t="e">
        <f t="shared" ca="1" si="109"/>
        <v>#VALUE!</v>
      </c>
      <c r="U299" s="2" t="e">
        <f t="shared" si="123"/>
        <v>#VALUE!</v>
      </c>
      <c r="V299" s="2" t="e">
        <f t="shared" si="110"/>
        <v>#VALUE!</v>
      </c>
      <c r="W299" s="2">
        <f t="shared" si="111"/>
        <v>477.4153</v>
      </c>
      <c r="X299" s="2" t="e">
        <f t="shared" ca="1" si="112"/>
        <v>#VALUE!</v>
      </c>
      <c r="Y299" s="2" t="e">
        <f t="shared" ca="1" si="113"/>
        <v>#VALUE!</v>
      </c>
      <c r="Z299" s="10">
        <f t="shared" si="114"/>
        <v>0.40989766639003022</v>
      </c>
      <c r="AA299" s="10" t="e">
        <f t="shared" ca="1" si="101"/>
        <v>#VALUE!</v>
      </c>
      <c r="AB299" s="11" t="e">
        <f t="shared" si="115"/>
        <v>#VALUE!</v>
      </c>
      <c r="AC299" s="11" t="e">
        <f>SUM($S$31:S299)/$V$31</f>
        <v>#VALUE!</v>
      </c>
      <c r="AD299" s="11" t="e">
        <f>SUM($S$31:S299,$R$31:R299,$T$31:T299)/$V$31</f>
        <v>#VALUE!</v>
      </c>
      <c r="AE299" s="11" t="e">
        <f>SUM($M$31:M299)/$V$31</f>
        <v>#VALUE!</v>
      </c>
      <c r="AF299" s="11" t="e">
        <f ca="1">SUM(SUM($M$31:M299),-SUM($T$31:T299))/$V$31</f>
        <v>#VALUE!</v>
      </c>
      <c r="AG299">
        <f t="shared" si="102"/>
        <v>72092</v>
      </c>
    </row>
    <row r="300" spans="2:33" x14ac:dyDescent="0.15">
      <c r="B300" s="1">
        <f t="shared" si="116"/>
        <v>269</v>
      </c>
      <c r="C300" s="1">
        <f t="shared" si="103"/>
        <v>269</v>
      </c>
      <c r="D300" s="25">
        <v>3.5401906416046403E-2</v>
      </c>
      <c r="E300" s="2">
        <f t="shared" si="104"/>
        <v>37772.440465803862</v>
      </c>
      <c r="F300" s="3">
        <f t="shared" si="117"/>
        <v>0.04</v>
      </c>
      <c r="G300" s="2">
        <f t="shared" si="118"/>
        <v>477.4153</v>
      </c>
      <c r="H300" s="2">
        <f t="shared" si="119"/>
        <v>125.90813488601289</v>
      </c>
      <c r="I300" s="2">
        <f t="shared" si="120"/>
        <v>351.50716511398713</v>
      </c>
      <c r="J300" s="2">
        <f t="shared" si="105"/>
        <v>37420.933300689874</v>
      </c>
      <c r="K300" s="2" t="e">
        <f t="shared" si="124"/>
        <v>#VALUE!</v>
      </c>
      <c r="L300" s="9">
        <v>1.6821425527395739E-3</v>
      </c>
      <c r="M300" s="2" t="e">
        <f t="shared" si="106"/>
        <v>#VALUE!</v>
      </c>
      <c r="N300" s="3">
        <f t="shared" si="107"/>
        <v>0.04</v>
      </c>
      <c r="O300" s="2" t="e">
        <f t="shared" si="108"/>
        <v>#VALUE!</v>
      </c>
      <c r="P300" s="10">
        <f t="shared" si="100"/>
        <v>0.37420933300689874</v>
      </c>
      <c r="Q300" s="13"/>
      <c r="R300" s="2" t="e">
        <f t="shared" si="121"/>
        <v>#VALUE!</v>
      </c>
      <c r="S300" s="2" t="e">
        <f t="shared" si="122"/>
        <v>#VALUE!</v>
      </c>
      <c r="T300" s="2" t="e">
        <f t="shared" ca="1" si="109"/>
        <v>#VALUE!</v>
      </c>
      <c r="U300" s="2" t="e">
        <f t="shared" si="123"/>
        <v>#VALUE!</v>
      </c>
      <c r="V300" s="2" t="e">
        <f t="shared" si="110"/>
        <v>#VALUE!</v>
      </c>
      <c r="W300" s="2">
        <f t="shared" si="111"/>
        <v>477.4153</v>
      </c>
      <c r="X300" s="2" t="e">
        <f t="shared" ca="1" si="112"/>
        <v>#VALUE!</v>
      </c>
      <c r="Y300" s="2" t="e">
        <f t="shared" ca="1" si="113"/>
        <v>#VALUE!</v>
      </c>
      <c r="Z300" s="10">
        <f t="shared" si="114"/>
        <v>0.40853588012330222</v>
      </c>
      <c r="AA300" s="10" t="e">
        <f t="shared" ca="1" si="101"/>
        <v>#VALUE!</v>
      </c>
      <c r="AB300" s="11" t="e">
        <f t="shared" si="115"/>
        <v>#VALUE!</v>
      </c>
      <c r="AC300" s="11" t="e">
        <f>SUM($S$31:S300)/$V$31</f>
        <v>#VALUE!</v>
      </c>
      <c r="AD300" s="11" t="e">
        <f>SUM($S$31:S300,$R$31:R300,$T$31:T300)/$V$31</f>
        <v>#VALUE!</v>
      </c>
      <c r="AE300" s="11" t="e">
        <f>SUM($M$31:M300)/$V$31</f>
        <v>#VALUE!</v>
      </c>
      <c r="AF300" s="11" t="e">
        <f ca="1">SUM(SUM($M$31:M300),-SUM($T$31:T300))/$V$31</f>
        <v>#VALUE!</v>
      </c>
      <c r="AG300">
        <f t="shared" si="102"/>
        <v>72630</v>
      </c>
    </row>
    <row r="301" spans="2:33" x14ac:dyDescent="0.15">
      <c r="B301" s="1">
        <f t="shared" si="116"/>
        <v>270</v>
      </c>
      <c r="C301" s="1">
        <f t="shared" si="103"/>
        <v>270</v>
      </c>
      <c r="D301" s="25">
        <v>3.5394865653970098E-2</v>
      </c>
      <c r="E301" s="2">
        <f t="shared" si="104"/>
        <v>37420.933300689874</v>
      </c>
      <c r="F301" s="3">
        <f t="shared" si="117"/>
        <v>0.04</v>
      </c>
      <c r="G301" s="2">
        <f t="shared" si="118"/>
        <v>477.4153</v>
      </c>
      <c r="H301" s="2">
        <f t="shared" si="119"/>
        <v>124.73644433563292</v>
      </c>
      <c r="I301" s="2">
        <f t="shared" si="120"/>
        <v>352.67885566436706</v>
      </c>
      <c r="J301" s="2">
        <f t="shared" si="105"/>
        <v>37068.254445025508</v>
      </c>
      <c r="K301" s="2" t="e">
        <f t="shared" si="124"/>
        <v>#VALUE!</v>
      </c>
      <c r="L301" s="9">
        <v>1.6821425527395739E-3</v>
      </c>
      <c r="M301" s="2" t="e">
        <f t="shared" si="106"/>
        <v>#VALUE!</v>
      </c>
      <c r="N301" s="3">
        <f t="shared" si="107"/>
        <v>0.04</v>
      </c>
      <c r="O301" s="2" t="e">
        <f t="shared" si="108"/>
        <v>#VALUE!</v>
      </c>
      <c r="P301" s="10">
        <f t="shared" si="100"/>
        <v>0.37068254445025506</v>
      </c>
      <c r="Q301" s="13"/>
      <c r="R301" s="2" t="e">
        <f t="shared" si="121"/>
        <v>#VALUE!</v>
      </c>
      <c r="S301" s="2" t="e">
        <f t="shared" si="122"/>
        <v>#VALUE!</v>
      </c>
      <c r="T301" s="2" t="e">
        <f t="shared" ca="1" si="109"/>
        <v>#VALUE!</v>
      </c>
      <c r="U301" s="2" t="e">
        <f t="shared" si="123"/>
        <v>#VALUE!</v>
      </c>
      <c r="V301" s="2" t="e">
        <f t="shared" si="110"/>
        <v>#VALUE!</v>
      </c>
      <c r="W301" s="2">
        <f t="shared" si="111"/>
        <v>477.4153</v>
      </c>
      <c r="X301" s="2" t="e">
        <f t="shared" ca="1" si="112"/>
        <v>#VALUE!</v>
      </c>
      <c r="Y301" s="2" t="e">
        <f t="shared" ca="1" si="113"/>
        <v>#VALUE!</v>
      </c>
      <c r="Z301" s="10">
        <f t="shared" si="114"/>
        <v>0.40717861806343908</v>
      </c>
      <c r="AA301" s="10" t="e">
        <f t="shared" ca="1" si="101"/>
        <v>#VALUE!</v>
      </c>
      <c r="AB301" s="11" t="e">
        <f t="shared" si="115"/>
        <v>#VALUE!</v>
      </c>
      <c r="AC301" s="11" t="e">
        <f>SUM($S$31:S301)/$V$31</f>
        <v>#VALUE!</v>
      </c>
      <c r="AD301" s="11" t="e">
        <f>SUM($S$31:S301,$R$31:R301,$T$31:T301)/$V$31</f>
        <v>#VALUE!</v>
      </c>
      <c r="AE301" s="11" t="e">
        <f>SUM($M$31:M301)/$V$31</f>
        <v>#VALUE!</v>
      </c>
      <c r="AF301" s="11" t="e">
        <f ca="1">SUM(SUM($M$31:M301),-SUM($T$31:T301))/$V$31</f>
        <v>#VALUE!</v>
      </c>
      <c r="AG301">
        <f t="shared" si="102"/>
        <v>73170</v>
      </c>
    </row>
    <row r="302" spans="2:33" x14ac:dyDescent="0.15">
      <c r="B302" s="1">
        <f t="shared" si="116"/>
        <v>271</v>
      </c>
      <c r="C302" s="1">
        <f t="shared" si="103"/>
        <v>271</v>
      </c>
      <c r="D302" s="25">
        <v>3.5386271601137401E-2</v>
      </c>
      <c r="E302" s="2">
        <f t="shared" si="104"/>
        <v>37068.254445025508</v>
      </c>
      <c r="F302" s="3">
        <f t="shared" si="117"/>
        <v>0.04</v>
      </c>
      <c r="G302" s="2">
        <f t="shared" si="118"/>
        <v>477.4153</v>
      </c>
      <c r="H302" s="2">
        <f t="shared" si="119"/>
        <v>123.56084815008504</v>
      </c>
      <c r="I302" s="2">
        <f t="shared" si="120"/>
        <v>353.85445184991499</v>
      </c>
      <c r="J302" s="2">
        <f t="shared" si="105"/>
        <v>36714.39999317559</v>
      </c>
      <c r="K302" s="2" t="e">
        <f t="shared" si="124"/>
        <v>#VALUE!</v>
      </c>
      <c r="L302" s="9">
        <v>1.6821425527395739E-3</v>
      </c>
      <c r="M302" s="2" t="e">
        <f t="shared" si="106"/>
        <v>#VALUE!</v>
      </c>
      <c r="N302" s="3">
        <f t="shared" si="107"/>
        <v>0.04</v>
      </c>
      <c r="O302" s="2" t="e">
        <f t="shared" si="108"/>
        <v>#VALUE!</v>
      </c>
      <c r="P302" s="10">
        <f t="shared" si="100"/>
        <v>0.36714399993175589</v>
      </c>
      <c r="Q302" s="13"/>
      <c r="R302" s="2" t="e">
        <f t="shared" si="121"/>
        <v>#VALUE!</v>
      </c>
      <c r="S302" s="2" t="e">
        <f t="shared" si="122"/>
        <v>#VALUE!</v>
      </c>
      <c r="T302" s="2" t="e">
        <f t="shared" ca="1" si="109"/>
        <v>#VALUE!</v>
      </c>
      <c r="U302" s="2" t="e">
        <f t="shared" si="123"/>
        <v>#VALUE!</v>
      </c>
      <c r="V302" s="2" t="e">
        <f t="shared" si="110"/>
        <v>#VALUE!</v>
      </c>
      <c r="W302" s="2">
        <f t="shared" si="111"/>
        <v>477.4153</v>
      </c>
      <c r="X302" s="2" t="e">
        <f t="shared" ca="1" si="112"/>
        <v>#VALUE!</v>
      </c>
      <c r="Y302" s="2" t="e">
        <f t="shared" ca="1" si="113"/>
        <v>#VALUE!</v>
      </c>
      <c r="Z302" s="10">
        <f t="shared" si="114"/>
        <v>0.40582586517985347</v>
      </c>
      <c r="AA302" s="10" t="e">
        <f t="shared" ca="1" si="101"/>
        <v>#VALUE!</v>
      </c>
      <c r="AB302" s="11" t="e">
        <f t="shared" si="115"/>
        <v>#VALUE!</v>
      </c>
      <c r="AC302" s="11" t="e">
        <f>SUM($S$31:S302)/$V$31</f>
        <v>#VALUE!</v>
      </c>
      <c r="AD302" s="11" t="e">
        <f>SUM($S$31:S302,$R$31:R302,$T$31:T302)/$V$31</f>
        <v>#VALUE!</v>
      </c>
      <c r="AE302" s="11" t="e">
        <f>SUM($M$31:M302)/$V$31</f>
        <v>#VALUE!</v>
      </c>
      <c r="AF302" s="11" t="e">
        <f ca="1">SUM(SUM($M$31:M302),-SUM($T$31:T302))/$V$31</f>
        <v>#VALUE!</v>
      </c>
      <c r="AG302">
        <f t="shared" si="102"/>
        <v>73712</v>
      </c>
    </row>
    <row r="303" spans="2:33" x14ac:dyDescent="0.15">
      <c r="B303" s="1">
        <f t="shared" si="116"/>
        <v>272</v>
      </c>
      <c r="C303" s="1">
        <f t="shared" si="103"/>
        <v>272</v>
      </c>
      <c r="D303" s="25">
        <v>3.5376404002289898E-2</v>
      </c>
      <c r="E303" s="2">
        <f t="shared" si="104"/>
        <v>36714.39999317559</v>
      </c>
      <c r="F303" s="3">
        <f t="shared" si="117"/>
        <v>0.04</v>
      </c>
      <c r="G303" s="2">
        <f t="shared" si="118"/>
        <v>477.4153</v>
      </c>
      <c r="H303" s="2">
        <f t="shared" si="119"/>
        <v>122.3813333105853</v>
      </c>
      <c r="I303" s="2">
        <f t="shared" si="120"/>
        <v>355.03396668941468</v>
      </c>
      <c r="J303" s="2">
        <f t="shared" si="105"/>
        <v>36359.366026486176</v>
      </c>
      <c r="K303" s="2" t="e">
        <f t="shared" si="124"/>
        <v>#VALUE!</v>
      </c>
      <c r="L303" s="9">
        <v>1.6821425527395739E-3</v>
      </c>
      <c r="M303" s="2" t="e">
        <f t="shared" si="106"/>
        <v>#VALUE!</v>
      </c>
      <c r="N303" s="3">
        <f t="shared" si="107"/>
        <v>0.04</v>
      </c>
      <c r="O303" s="2" t="e">
        <f t="shared" si="108"/>
        <v>#VALUE!</v>
      </c>
      <c r="P303" s="10">
        <f t="shared" si="100"/>
        <v>0.36359366026486173</v>
      </c>
      <c r="Q303" s="13"/>
      <c r="R303" s="2" t="e">
        <f t="shared" si="121"/>
        <v>#VALUE!</v>
      </c>
      <c r="S303" s="2" t="e">
        <f t="shared" si="122"/>
        <v>#VALUE!</v>
      </c>
      <c r="T303" s="2" t="e">
        <f t="shared" ca="1" si="109"/>
        <v>#VALUE!</v>
      </c>
      <c r="U303" s="2" t="e">
        <f t="shared" si="123"/>
        <v>#VALUE!</v>
      </c>
      <c r="V303" s="2" t="e">
        <f t="shared" si="110"/>
        <v>#VALUE!</v>
      </c>
      <c r="W303" s="2">
        <f t="shared" si="111"/>
        <v>477.4153</v>
      </c>
      <c r="X303" s="2" t="e">
        <f t="shared" ca="1" si="112"/>
        <v>#VALUE!</v>
      </c>
      <c r="Y303" s="2" t="e">
        <f t="shared" ca="1" si="113"/>
        <v>#VALUE!</v>
      </c>
      <c r="Z303" s="10">
        <f t="shared" si="114"/>
        <v>0.40447760649189335</v>
      </c>
      <c r="AA303" s="10" t="e">
        <f t="shared" ca="1" si="101"/>
        <v>#VALUE!</v>
      </c>
      <c r="AB303" s="11" t="e">
        <f t="shared" si="115"/>
        <v>#VALUE!</v>
      </c>
      <c r="AC303" s="11" t="e">
        <f>SUM($S$31:S303)/$V$31</f>
        <v>#VALUE!</v>
      </c>
      <c r="AD303" s="11" t="e">
        <f>SUM($S$31:S303,$R$31:R303,$T$31:T303)/$V$31</f>
        <v>#VALUE!</v>
      </c>
      <c r="AE303" s="11" t="e">
        <f>SUM($M$31:M303)/$V$31</f>
        <v>#VALUE!</v>
      </c>
      <c r="AF303" s="11" t="e">
        <f ca="1">SUM(SUM($M$31:M303),-SUM($T$31:T303))/$V$31</f>
        <v>#VALUE!</v>
      </c>
      <c r="AG303">
        <f t="shared" si="102"/>
        <v>74256</v>
      </c>
    </row>
    <row r="304" spans="2:33" x14ac:dyDescent="0.15">
      <c r="B304" s="1">
        <f t="shared" si="116"/>
        <v>273</v>
      </c>
      <c r="C304" s="1">
        <f t="shared" si="103"/>
        <v>273</v>
      </c>
      <c r="D304" s="25">
        <v>3.5370394813746799E-2</v>
      </c>
      <c r="E304" s="2">
        <f t="shared" si="104"/>
        <v>36359.366026486176</v>
      </c>
      <c r="F304" s="3">
        <f t="shared" si="117"/>
        <v>0.04</v>
      </c>
      <c r="G304" s="2">
        <f t="shared" si="118"/>
        <v>477.4153</v>
      </c>
      <c r="H304" s="2">
        <f t="shared" si="119"/>
        <v>121.19788675495393</v>
      </c>
      <c r="I304" s="2">
        <f t="shared" si="120"/>
        <v>356.21741324504609</v>
      </c>
      <c r="J304" s="2">
        <f t="shared" si="105"/>
        <v>36003.14861324113</v>
      </c>
      <c r="K304" s="2" t="e">
        <f t="shared" si="124"/>
        <v>#VALUE!</v>
      </c>
      <c r="L304" s="9">
        <v>1.6821425527395739E-3</v>
      </c>
      <c r="M304" s="2" t="e">
        <f t="shared" si="106"/>
        <v>#VALUE!</v>
      </c>
      <c r="N304" s="3">
        <f t="shared" si="107"/>
        <v>0.04</v>
      </c>
      <c r="O304" s="2" t="e">
        <f t="shared" si="108"/>
        <v>#VALUE!</v>
      </c>
      <c r="P304" s="10">
        <f t="shared" si="100"/>
        <v>0.36003148613241132</v>
      </c>
      <c r="Q304" s="13"/>
      <c r="R304" s="2" t="e">
        <f t="shared" si="121"/>
        <v>#VALUE!</v>
      </c>
      <c r="S304" s="2" t="e">
        <f t="shared" si="122"/>
        <v>#VALUE!</v>
      </c>
      <c r="T304" s="2" t="e">
        <f t="shared" ca="1" si="109"/>
        <v>#VALUE!</v>
      </c>
      <c r="U304" s="2" t="e">
        <f t="shared" si="123"/>
        <v>#VALUE!</v>
      </c>
      <c r="V304" s="2" t="e">
        <f t="shared" si="110"/>
        <v>#VALUE!</v>
      </c>
      <c r="W304" s="2">
        <f t="shared" si="111"/>
        <v>477.4153</v>
      </c>
      <c r="X304" s="2" t="e">
        <f t="shared" ca="1" si="112"/>
        <v>#VALUE!</v>
      </c>
      <c r="Y304" s="2" t="e">
        <f t="shared" ca="1" si="113"/>
        <v>#VALUE!</v>
      </c>
      <c r="Z304" s="10">
        <f t="shared" si="114"/>
        <v>0.40313382706867601</v>
      </c>
      <c r="AA304" s="10" t="e">
        <f t="shared" ca="1" si="101"/>
        <v>#VALUE!</v>
      </c>
      <c r="AB304" s="11" t="e">
        <f t="shared" si="115"/>
        <v>#VALUE!</v>
      </c>
      <c r="AC304" s="11" t="e">
        <f>SUM($S$31:S304)/$V$31</f>
        <v>#VALUE!</v>
      </c>
      <c r="AD304" s="11" t="e">
        <f>SUM($S$31:S304,$R$31:R304,$T$31:T304)/$V$31</f>
        <v>#VALUE!</v>
      </c>
      <c r="AE304" s="11" t="e">
        <f>SUM($M$31:M304)/$V$31</f>
        <v>#VALUE!</v>
      </c>
      <c r="AF304" s="11" t="e">
        <f ca="1">SUM(SUM($M$31:M304),-SUM($T$31:T304))/$V$31</f>
        <v>#VALUE!</v>
      </c>
      <c r="AG304">
        <f t="shared" si="102"/>
        <v>74802</v>
      </c>
    </row>
    <row r="305" spans="2:33" x14ac:dyDescent="0.15">
      <c r="B305" s="1">
        <f t="shared" si="116"/>
        <v>274</v>
      </c>
      <c r="C305" s="1">
        <f t="shared" si="103"/>
        <v>274</v>
      </c>
      <c r="D305" s="25">
        <v>3.5361214359299405E-2</v>
      </c>
      <c r="E305" s="2">
        <f t="shared" si="104"/>
        <v>36003.14861324113</v>
      </c>
      <c r="F305" s="3">
        <f t="shared" si="117"/>
        <v>0.04</v>
      </c>
      <c r="G305" s="2">
        <f t="shared" si="118"/>
        <v>477.4153</v>
      </c>
      <c r="H305" s="2">
        <f t="shared" si="119"/>
        <v>120.01049537747045</v>
      </c>
      <c r="I305" s="2">
        <f t="shared" si="120"/>
        <v>357.40480462252958</v>
      </c>
      <c r="J305" s="2">
        <f t="shared" si="105"/>
        <v>35645.743808618601</v>
      </c>
      <c r="K305" s="2" t="e">
        <f t="shared" si="124"/>
        <v>#VALUE!</v>
      </c>
      <c r="L305" s="9">
        <v>1.6821425527395739E-3</v>
      </c>
      <c r="M305" s="2" t="e">
        <f t="shared" si="106"/>
        <v>#VALUE!</v>
      </c>
      <c r="N305" s="3">
        <f t="shared" si="107"/>
        <v>0.04</v>
      </c>
      <c r="O305" s="2" t="e">
        <f t="shared" si="108"/>
        <v>#VALUE!</v>
      </c>
      <c r="P305" s="10">
        <f t="shared" si="100"/>
        <v>0.35645743808618602</v>
      </c>
      <c r="Q305" s="13"/>
      <c r="R305" s="2" t="e">
        <f t="shared" si="121"/>
        <v>#VALUE!</v>
      </c>
      <c r="S305" s="2" t="e">
        <f t="shared" si="122"/>
        <v>#VALUE!</v>
      </c>
      <c r="T305" s="2" t="e">
        <f t="shared" ca="1" si="109"/>
        <v>#VALUE!</v>
      </c>
      <c r="U305" s="2" t="e">
        <f t="shared" si="123"/>
        <v>#VALUE!</v>
      </c>
      <c r="V305" s="2" t="e">
        <f t="shared" si="110"/>
        <v>#VALUE!</v>
      </c>
      <c r="W305" s="2">
        <f t="shared" si="111"/>
        <v>477.4153</v>
      </c>
      <c r="X305" s="2" t="e">
        <f t="shared" ca="1" si="112"/>
        <v>#VALUE!</v>
      </c>
      <c r="Y305" s="2" t="e">
        <f t="shared" ca="1" si="113"/>
        <v>#VALUE!</v>
      </c>
      <c r="Z305" s="10">
        <f t="shared" si="114"/>
        <v>0.40179451202892336</v>
      </c>
      <c r="AA305" s="10" t="e">
        <f t="shared" ca="1" si="101"/>
        <v>#VALUE!</v>
      </c>
      <c r="AB305" s="11" t="e">
        <f t="shared" si="115"/>
        <v>#VALUE!</v>
      </c>
      <c r="AC305" s="11" t="e">
        <f>SUM($S$31:S305)/$V$31</f>
        <v>#VALUE!</v>
      </c>
      <c r="AD305" s="11" t="e">
        <f>SUM($S$31:S305,$R$31:R305,$T$31:T305)/$V$31</f>
        <v>#VALUE!</v>
      </c>
      <c r="AE305" s="11" t="e">
        <f>SUM($M$31:M305)/$V$31</f>
        <v>#VALUE!</v>
      </c>
      <c r="AF305" s="11" t="e">
        <f ca="1">SUM(SUM($M$31:M305),-SUM($T$31:T305))/$V$31</f>
        <v>#VALUE!</v>
      </c>
      <c r="AG305">
        <f t="shared" si="102"/>
        <v>75350</v>
      </c>
    </row>
    <row r="306" spans="2:33" x14ac:dyDescent="0.15">
      <c r="B306" s="1">
        <f t="shared" si="116"/>
        <v>275</v>
      </c>
      <c r="C306" s="1">
        <f t="shared" si="103"/>
        <v>275</v>
      </c>
      <c r="D306" s="25">
        <v>3.5355889316012599E-2</v>
      </c>
      <c r="E306" s="2">
        <f t="shared" si="104"/>
        <v>35645.743808618601</v>
      </c>
      <c r="F306" s="3">
        <f t="shared" si="117"/>
        <v>0.04</v>
      </c>
      <c r="G306" s="2">
        <f t="shared" si="118"/>
        <v>477.4153</v>
      </c>
      <c r="H306" s="2">
        <f t="shared" si="119"/>
        <v>118.81914602872868</v>
      </c>
      <c r="I306" s="2">
        <f t="shared" si="120"/>
        <v>358.59615397127129</v>
      </c>
      <c r="J306" s="2">
        <f t="shared" si="105"/>
        <v>35287.147654647328</v>
      </c>
      <c r="K306" s="2" t="e">
        <f t="shared" si="124"/>
        <v>#VALUE!</v>
      </c>
      <c r="L306" s="9">
        <v>1.6821425527395739E-3</v>
      </c>
      <c r="M306" s="2" t="e">
        <f t="shared" si="106"/>
        <v>#VALUE!</v>
      </c>
      <c r="N306" s="3">
        <f t="shared" si="107"/>
        <v>0.04</v>
      </c>
      <c r="O306" s="2" t="e">
        <f t="shared" si="108"/>
        <v>#VALUE!</v>
      </c>
      <c r="P306" s="10">
        <f t="shared" si="100"/>
        <v>0.35287147654647327</v>
      </c>
      <c r="Q306" s="13"/>
      <c r="R306" s="2" t="e">
        <f t="shared" si="121"/>
        <v>#VALUE!</v>
      </c>
      <c r="S306" s="2" t="e">
        <f t="shared" si="122"/>
        <v>#VALUE!</v>
      </c>
      <c r="T306" s="2" t="e">
        <f t="shared" ca="1" si="109"/>
        <v>#VALUE!</v>
      </c>
      <c r="U306" s="2" t="e">
        <f t="shared" si="123"/>
        <v>#VALUE!</v>
      </c>
      <c r="V306" s="2" t="e">
        <f t="shared" si="110"/>
        <v>#VALUE!</v>
      </c>
      <c r="W306" s="2">
        <f t="shared" si="111"/>
        <v>477.4153</v>
      </c>
      <c r="X306" s="2" t="e">
        <f t="shared" ca="1" si="112"/>
        <v>#VALUE!</v>
      </c>
      <c r="Y306" s="2" t="e">
        <f t="shared" ca="1" si="113"/>
        <v>#VALUE!</v>
      </c>
      <c r="Z306" s="10">
        <f t="shared" si="114"/>
        <v>0.4004596465407968</v>
      </c>
      <c r="AA306" s="10" t="e">
        <f t="shared" ca="1" si="101"/>
        <v>#VALUE!</v>
      </c>
      <c r="AB306" s="11" t="e">
        <f t="shared" si="115"/>
        <v>#VALUE!</v>
      </c>
      <c r="AC306" s="11" t="e">
        <f>SUM($S$31:S306)/$V$31</f>
        <v>#VALUE!</v>
      </c>
      <c r="AD306" s="11" t="e">
        <f>SUM($S$31:S306,$R$31:R306,$T$31:T306)/$V$31</f>
        <v>#VALUE!</v>
      </c>
      <c r="AE306" s="11" t="e">
        <f>SUM($M$31:M306)/$V$31</f>
        <v>#VALUE!</v>
      </c>
      <c r="AF306" s="11" t="e">
        <f ca="1">SUM(SUM($M$31:M306),-SUM($T$31:T306))/$V$31</f>
        <v>#VALUE!</v>
      </c>
      <c r="AG306">
        <f t="shared" si="102"/>
        <v>75900</v>
      </c>
    </row>
    <row r="307" spans="2:33" x14ac:dyDescent="0.15">
      <c r="B307" s="1">
        <f t="shared" si="116"/>
        <v>276</v>
      </c>
      <c r="C307" s="1">
        <f t="shared" si="103"/>
        <v>276</v>
      </c>
      <c r="D307" s="25">
        <v>3.5349043187722001E-2</v>
      </c>
      <c r="E307" s="2">
        <f t="shared" si="104"/>
        <v>35287.147654647328</v>
      </c>
      <c r="F307" s="3">
        <f t="shared" si="117"/>
        <v>0.04</v>
      </c>
      <c r="G307" s="2">
        <f t="shared" si="118"/>
        <v>477.4153</v>
      </c>
      <c r="H307" s="2">
        <f t="shared" si="119"/>
        <v>117.62382551549111</v>
      </c>
      <c r="I307" s="2">
        <f t="shared" si="120"/>
        <v>359.79147448450891</v>
      </c>
      <c r="J307" s="2">
        <f t="shared" si="105"/>
        <v>34927.356180162817</v>
      </c>
      <c r="K307" s="2" t="e">
        <f t="shared" si="124"/>
        <v>#VALUE!</v>
      </c>
      <c r="L307" s="9">
        <v>1.6821425527395739E-3</v>
      </c>
      <c r="M307" s="2" t="e">
        <f t="shared" si="106"/>
        <v>#VALUE!</v>
      </c>
      <c r="N307" s="3">
        <f t="shared" si="107"/>
        <v>0.04</v>
      </c>
      <c r="O307" s="2" t="e">
        <f t="shared" si="108"/>
        <v>#VALUE!</v>
      </c>
      <c r="P307" s="10">
        <f t="shared" si="100"/>
        <v>0.34927356180162816</v>
      </c>
      <c r="Q307" s="13"/>
      <c r="R307" s="2" t="e">
        <f t="shared" si="121"/>
        <v>#VALUE!</v>
      </c>
      <c r="S307" s="2" t="e">
        <f t="shared" si="122"/>
        <v>#VALUE!</v>
      </c>
      <c r="T307" s="2" t="e">
        <f t="shared" ca="1" si="109"/>
        <v>#VALUE!</v>
      </c>
      <c r="U307" s="2" t="e">
        <f t="shared" si="123"/>
        <v>#VALUE!</v>
      </c>
      <c r="V307" s="2" t="e">
        <f t="shared" si="110"/>
        <v>#VALUE!</v>
      </c>
      <c r="W307" s="2">
        <f t="shared" si="111"/>
        <v>477.4153</v>
      </c>
      <c r="X307" s="2" t="e">
        <f t="shared" ca="1" si="112"/>
        <v>#VALUE!</v>
      </c>
      <c r="Y307" s="2" t="e">
        <f t="shared" ca="1" si="113"/>
        <v>#VALUE!</v>
      </c>
      <c r="Z307" s="10">
        <f t="shared" si="114"/>
        <v>0.39912921582173255</v>
      </c>
      <c r="AA307" s="10" t="e">
        <f t="shared" ca="1" si="101"/>
        <v>#VALUE!</v>
      </c>
      <c r="AB307" s="11" t="e">
        <f t="shared" si="115"/>
        <v>#VALUE!</v>
      </c>
      <c r="AC307" s="11" t="e">
        <f>SUM($S$31:S307)/$V$31</f>
        <v>#VALUE!</v>
      </c>
      <c r="AD307" s="11" t="e">
        <f>SUM($S$31:S307,$R$31:R307,$T$31:T307)/$V$31</f>
        <v>#VALUE!</v>
      </c>
      <c r="AE307" s="11" t="e">
        <f>SUM($M$31:M307)/$V$31</f>
        <v>#VALUE!</v>
      </c>
      <c r="AF307" s="11" t="e">
        <f ca="1">SUM(SUM($M$31:M307),-SUM($T$31:T307))/$V$31</f>
        <v>#VALUE!</v>
      </c>
      <c r="AG307">
        <f t="shared" si="102"/>
        <v>76452</v>
      </c>
    </row>
    <row r="308" spans="2:33" x14ac:dyDescent="0.15">
      <c r="B308" s="1">
        <f t="shared" si="116"/>
        <v>277</v>
      </c>
      <c r="C308" s="1">
        <f t="shared" si="103"/>
        <v>277</v>
      </c>
      <c r="D308" s="25">
        <v>3.5339246646879201E-2</v>
      </c>
      <c r="E308" s="2">
        <f t="shared" si="104"/>
        <v>34927.356180162817</v>
      </c>
      <c r="F308" s="3">
        <f t="shared" si="117"/>
        <v>0.04</v>
      </c>
      <c r="G308" s="2">
        <f t="shared" si="118"/>
        <v>477.4153</v>
      </c>
      <c r="H308" s="2">
        <f t="shared" si="119"/>
        <v>116.42452060054273</v>
      </c>
      <c r="I308" s="2">
        <f t="shared" si="120"/>
        <v>360.99077939945727</v>
      </c>
      <c r="J308" s="2">
        <f t="shared" si="105"/>
        <v>34566.36540076336</v>
      </c>
      <c r="K308" s="2" t="e">
        <f t="shared" si="124"/>
        <v>#VALUE!</v>
      </c>
      <c r="L308" s="9">
        <v>1.6821425527395739E-3</v>
      </c>
      <c r="M308" s="2" t="e">
        <f t="shared" si="106"/>
        <v>#VALUE!</v>
      </c>
      <c r="N308" s="3">
        <f t="shared" si="107"/>
        <v>0.04</v>
      </c>
      <c r="O308" s="2" t="e">
        <f t="shared" si="108"/>
        <v>#VALUE!</v>
      </c>
      <c r="P308" s="10">
        <f t="shared" si="100"/>
        <v>0.3456636540076336</v>
      </c>
      <c r="Q308" s="13"/>
      <c r="R308" s="2" t="e">
        <f t="shared" si="121"/>
        <v>#VALUE!</v>
      </c>
      <c r="S308" s="2" t="e">
        <f t="shared" si="122"/>
        <v>#VALUE!</v>
      </c>
      <c r="T308" s="2" t="e">
        <f t="shared" ca="1" si="109"/>
        <v>#VALUE!</v>
      </c>
      <c r="U308" s="2" t="e">
        <f t="shared" si="123"/>
        <v>#VALUE!</v>
      </c>
      <c r="V308" s="2" t="e">
        <f t="shared" si="110"/>
        <v>#VALUE!</v>
      </c>
      <c r="W308" s="2">
        <f t="shared" si="111"/>
        <v>477.4153</v>
      </c>
      <c r="X308" s="2" t="e">
        <f t="shared" ca="1" si="112"/>
        <v>#VALUE!</v>
      </c>
      <c r="Y308" s="2" t="e">
        <f t="shared" ca="1" si="113"/>
        <v>#VALUE!</v>
      </c>
      <c r="Z308" s="10">
        <f t="shared" si="114"/>
        <v>0.39780320513827866</v>
      </c>
      <c r="AA308" s="10" t="e">
        <f t="shared" ca="1" si="101"/>
        <v>#VALUE!</v>
      </c>
      <c r="AB308" s="11" t="e">
        <f t="shared" si="115"/>
        <v>#VALUE!</v>
      </c>
      <c r="AC308" s="11" t="e">
        <f>SUM($S$31:S308)/$V$31</f>
        <v>#VALUE!</v>
      </c>
      <c r="AD308" s="11" t="e">
        <f>SUM($S$31:S308,$R$31:R308,$T$31:T308)/$V$31</f>
        <v>#VALUE!</v>
      </c>
      <c r="AE308" s="11" t="e">
        <f>SUM($M$31:M308)/$V$31</f>
        <v>#VALUE!</v>
      </c>
      <c r="AF308" s="11" t="e">
        <f ca="1">SUM(SUM($M$31:M308),-SUM($T$31:T308))/$V$31</f>
        <v>#VALUE!</v>
      </c>
      <c r="AG308">
        <f t="shared" si="102"/>
        <v>77006</v>
      </c>
    </row>
    <row r="309" spans="2:33" x14ac:dyDescent="0.15">
      <c r="B309" s="1">
        <f t="shared" si="116"/>
        <v>278</v>
      </c>
      <c r="C309" s="1">
        <f t="shared" si="103"/>
        <v>278</v>
      </c>
      <c r="D309" s="25">
        <v>3.5336798689973102E-2</v>
      </c>
      <c r="E309" s="2">
        <f t="shared" si="104"/>
        <v>34566.36540076336</v>
      </c>
      <c r="F309" s="3">
        <f t="shared" si="117"/>
        <v>0.04</v>
      </c>
      <c r="G309" s="2">
        <f t="shared" si="118"/>
        <v>477.4153</v>
      </c>
      <c r="H309" s="2">
        <f t="shared" si="119"/>
        <v>115.22121800254453</v>
      </c>
      <c r="I309" s="2">
        <f t="shared" si="120"/>
        <v>362.19408199745544</v>
      </c>
      <c r="J309" s="2">
        <f t="shared" si="105"/>
        <v>34204.171318765904</v>
      </c>
      <c r="K309" s="2" t="e">
        <f t="shared" si="124"/>
        <v>#VALUE!</v>
      </c>
      <c r="L309" s="9">
        <v>1.6821425527395739E-3</v>
      </c>
      <c r="M309" s="2" t="e">
        <f t="shared" si="106"/>
        <v>#VALUE!</v>
      </c>
      <c r="N309" s="3">
        <f t="shared" si="107"/>
        <v>0.04</v>
      </c>
      <c r="O309" s="2" t="e">
        <f t="shared" si="108"/>
        <v>#VALUE!</v>
      </c>
      <c r="P309" s="10">
        <f t="shared" si="100"/>
        <v>0.34204171318765902</v>
      </c>
      <c r="Q309" s="13"/>
      <c r="R309" s="2" t="e">
        <f t="shared" si="121"/>
        <v>#VALUE!</v>
      </c>
      <c r="S309" s="2" t="e">
        <f t="shared" si="122"/>
        <v>#VALUE!</v>
      </c>
      <c r="T309" s="2" t="e">
        <f t="shared" ca="1" si="109"/>
        <v>#VALUE!</v>
      </c>
      <c r="U309" s="2" t="e">
        <f t="shared" si="123"/>
        <v>#VALUE!</v>
      </c>
      <c r="V309" s="2" t="e">
        <f t="shared" si="110"/>
        <v>#VALUE!</v>
      </c>
      <c r="W309" s="2">
        <f t="shared" si="111"/>
        <v>477.4153</v>
      </c>
      <c r="X309" s="2" t="e">
        <f t="shared" ca="1" si="112"/>
        <v>#VALUE!</v>
      </c>
      <c r="Y309" s="2" t="e">
        <f t="shared" ca="1" si="113"/>
        <v>#VALUE!</v>
      </c>
      <c r="Z309" s="10">
        <f t="shared" si="114"/>
        <v>0.39648159980593151</v>
      </c>
      <c r="AA309" s="10" t="e">
        <f t="shared" ca="1" si="101"/>
        <v>#VALUE!</v>
      </c>
      <c r="AB309" s="11" t="e">
        <f t="shared" si="115"/>
        <v>#VALUE!</v>
      </c>
      <c r="AC309" s="11" t="e">
        <f>SUM($S$31:S309)/$V$31</f>
        <v>#VALUE!</v>
      </c>
      <c r="AD309" s="11" t="e">
        <f>SUM($S$31:S309,$R$31:R309,$T$31:T309)/$V$31</f>
        <v>#VALUE!</v>
      </c>
      <c r="AE309" s="11" t="e">
        <f>SUM($M$31:M309)/$V$31</f>
        <v>#VALUE!</v>
      </c>
      <c r="AF309" s="11" t="e">
        <f ca="1">SUM(SUM($M$31:M309),-SUM($T$31:T309))/$V$31</f>
        <v>#VALUE!</v>
      </c>
      <c r="AG309">
        <f t="shared" si="102"/>
        <v>77562</v>
      </c>
    </row>
    <row r="310" spans="2:33" x14ac:dyDescent="0.15">
      <c r="B310" s="1">
        <f t="shared" si="116"/>
        <v>279</v>
      </c>
      <c r="C310" s="1">
        <f t="shared" si="103"/>
        <v>279</v>
      </c>
      <c r="D310" s="25">
        <v>3.5329329862585801E-2</v>
      </c>
      <c r="E310" s="2">
        <f t="shared" si="104"/>
        <v>34204.171318765904</v>
      </c>
      <c r="F310" s="3">
        <f t="shared" si="117"/>
        <v>0.04</v>
      </c>
      <c r="G310" s="2">
        <f t="shared" si="118"/>
        <v>477.4153</v>
      </c>
      <c r="H310" s="2">
        <f t="shared" si="119"/>
        <v>114.01390439588636</v>
      </c>
      <c r="I310" s="2">
        <f t="shared" si="120"/>
        <v>363.40139560411365</v>
      </c>
      <c r="J310" s="2">
        <f t="shared" si="105"/>
        <v>33840.769923161788</v>
      </c>
      <c r="K310" s="2" t="e">
        <f t="shared" si="124"/>
        <v>#VALUE!</v>
      </c>
      <c r="L310" s="9">
        <v>1.6821425527395739E-3</v>
      </c>
      <c r="M310" s="2" t="e">
        <f t="shared" si="106"/>
        <v>#VALUE!</v>
      </c>
      <c r="N310" s="3">
        <f t="shared" si="107"/>
        <v>0.04</v>
      </c>
      <c r="O310" s="2" t="e">
        <f t="shared" si="108"/>
        <v>#VALUE!</v>
      </c>
      <c r="P310" s="10">
        <f t="shared" si="100"/>
        <v>0.3384076992316179</v>
      </c>
      <c r="Q310" s="13"/>
      <c r="R310" s="2" t="e">
        <f t="shared" si="121"/>
        <v>#VALUE!</v>
      </c>
      <c r="S310" s="2" t="e">
        <f t="shared" si="122"/>
        <v>#VALUE!</v>
      </c>
      <c r="T310" s="2" t="e">
        <f t="shared" ca="1" si="109"/>
        <v>#VALUE!</v>
      </c>
      <c r="U310" s="2" t="e">
        <f t="shared" si="123"/>
        <v>#VALUE!</v>
      </c>
      <c r="V310" s="2" t="e">
        <f t="shared" si="110"/>
        <v>#VALUE!</v>
      </c>
      <c r="W310" s="2">
        <f t="shared" si="111"/>
        <v>477.4153</v>
      </c>
      <c r="X310" s="2" t="e">
        <f t="shared" ca="1" si="112"/>
        <v>#VALUE!</v>
      </c>
      <c r="Y310" s="2" t="e">
        <f t="shared" ca="1" si="113"/>
        <v>#VALUE!</v>
      </c>
      <c r="Z310" s="10">
        <f t="shared" si="114"/>
        <v>0.39516438518897307</v>
      </c>
      <c r="AA310" s="10" t="e">
        <f t="shared" ca="1" si="101"/>
        <v>#VALUE!</v>
      </c>
      <c r="AB310" s="11" t="e">
        <f t="shared" si="115"/>
        <v>#VALUE!</v>
      </c>
      <c r="AC310" s="11" t="e">
        <f>SUM($S$31:S310)/$V$31</f>
        <v>#VALUE!</v>
      </c>
      <c r="AD310" s="11" t="e">
        <f>SUM($S$31:S310,$R$31:R310,$T$31:T310)/$V$31</f>
        <v>#VALUE!</v>
      </c>
      <c r="AE310" s="11" t="e">
        <f>SUM($M$31:M310)/$V$31</f>
        <v>#VALUE!</v>
      </c>
      <c r="AF310" s="11" t="e">
        <f ca="1">SUM(SUM($M$31:M310),-SUM($T$31:T310))/$V$31</f>
        <v>#VALUE!</v>
      </c>
      <c r="AG310">
        <f t="shared" si="102"/>
        <v>78120</v>
      </c>
    </row>
    <row r="311" spans="2:33" x14ac:dyDescent="0.15">
      <c r="B311" s="1">
        <f t="shared" si="116"/>
        <v>280</v>
      </c>
      <c r="C311" s="1">
        <f t="shared" si="103"/>
        <v>280</v>
      </c>
      <c r="D311" s="25">
        <v>3.5325710155038201E-2</v>
      </c>
      <c r="E311" s="2">
        <f t="shared" si="104"/>
        <v>33840.769923161788</v>
      </c>
      <c r="F311" s="3">
        <f t="shared" si="117"/>
        <v>0.04</v>
      </c>
      <c r="G311" s="2">
        <f t="shared" si="118"/>
        <v>477.4153</v>
      </c>
      <c r="H311" s="2">
        <f t="shared" si="119"/>
        <v>112.8025664105393</v>
      </c>
      <c r="I311" s="2">
        <f t="shared" si="120"/>
        <v>364.61273358946073</v>
      </c>
      <c r="J311" s="2">
        <f t="shared" si="105"/>
        <v>33476.157189572325</v>
      </c>
      <c r="K311" s="2" t="e">
        <f t="shared" si="124"/>
        <v>#VALUE!</v>
      </c>
      <c r="L311" s="9">
        <v>1.6821425527395739E-3</v>
      </c>
      <c r="M311" s="2" t="e">
        <f t="shared" si="106"/>
        <v>#VALUE!</v>
      </c>
      <c r="N311" s="3">
        <f t="shared" si="107"/>
        <v>0.04</v>
      </c>
      <c r="O311" s="2" t="e">
        <f t="shared" si="108"/>
        <v>#VALUE!</v>
      </c>
      <c r="P311" s="10">
        <f t="shared" si="100"/>
        <v>0.33476157189572325</v>
      </c>
      <c r="Q311" s="13"/>
      <c r="R311" s="2" t="e">
        <f t="shared" si="121"/>
        <v>#VALUE!</v>
      </c>
      <c r="S311" s="2" t="e">
        <f t="shared" si="122"/>
        <v>#VALUE!</v>
      </c>
      <c r="T311" s="2" t="e">
        <f t="shared" ca="1" si="109"/>
        <v>#VALUE!</v>
      </c>
      <c r="U311" s="2" t="e">
        <f t="shared" si="123"/>
        <v>#VALUE!</v>
      </c>
      <c r="V311" s="2" t="e">
        <f t="shared" si="110"/>
        <v>#VALUE!</v>
      </c>
      <c r="W311" s="2">
        <f t="shared" si="111"/>
        <v>477.4153</v>
      </c>
      <c r="X311" s="2" t="e">
        <f t="shared" ca="1" si="112"/>
        <v>#VALUE!</v>
      </c>
      <c r="Y311" s="2" t="e">
        <f t="shared" ca="1" si="113"/>
        <v>#VALUE!</v>
      </c>
      <c r="Z311" s="10">
        <f t="shared" si="114"/>
        <v>0.39385154670030903</v>
      </c>
      <c r="AA311" s="10" t="e">
        <f t="shared" ca="1" si="101"/>
        <v>#VALUE!</v>
      </c>
      <c r="AB311" s="11" t="e">
        <f t="shared" si="115"/>
        <v>#VALUE!</v>
      </c>
      <c r="AC311" s="11" t="e">
        <f>SUM($S$31:S311)/$V$31</f>
        <v>#VALUE!</v>
      </c>
      <c r="AD311" s="11" t="e">
        <f>SUM($S$31:S311,$R$31:R311,$T$31:T311)/$V$31</f>
        <v>#VALUE!</v>
      </c>
      <c r="AE311" s="11" t="e">
        <f>SUM($M$31:M311)/$V$31</f>
        <v>#VALUE!</v>
      </c>
      <c r="AF311" s="11" t="e">
        <f ca="1">SUM(SUM($M$31:M311),-SUM($T$31:T311))/$V$31</f>
        <v>#VALUE!</v>
      </c>
      <c r="AG311">
        <f t="shared" si="102"/>
        <v>78680</v>
      </c>
    </row>
    <row r="312" spans="2:33" x14ac:dyDescent="0.15">
      <c r="B312" s="1">
        <f t="shared" si="116"/>
        <v>281</v>
      </c>
      <c r="C312" s="1">
        <f t="shared" si="103"/>
        <v>281</v>
      </c>
      <c r="D312" s="25">
        <v>3.5318927990204599E-2</v>
      </c>
      <c r="E312" s="2">
        <f t="shared" si="104"/>
        <v>33476.157189572325</v>
      </c>
      <c r="F312" s="3">
        <f t="shared" si="117"/>
        <v>0.04</v>
      </c>
      <c r="G312" s="2">
        <f t="shared" si="118"/>
        <v>477.4153</v>
      </c>
      <c r="H312" s="2">
        <f t="shared" si="119"/>
        <v>111.58719063190776</v>
      </c>
      <c r="I312" s="2">
        <f t="shared" si="120"/>
        <v>365.82810936809221</v>
      </c>
      <c r="J312" s="2">
        <f t="shared" si="105"/>
        <v>33110.329080204232</v>
      </c>
      <c r="K312" s="2" t="e">
        <f t="shared" si="124"/>
        <v>#VALUE!</v>
      </c>
      <c r="L312" s="9">
        <v>1.6821425527395739E-3</v>
      </c>
      <c r="M312" s="2" t="e">
        <f t="shared" si="106"/>
        <v>#VALUE!</v>
      </c>
      <c r="N312" s="3">
        <f t="shared" si="107"/>
        <v>0.04</v>
      </c>
      <c r="O312" s="2" t="e">
        <f t="shared" si="108"/>
        <v>#VALUE!</v>
      </c>
      <c r="P312" s="10">
        <f t="shared" si="100"/>
        <v>0.33110329080204232</v>
      </c>
      <c r="Q312" s="13"/>
      <c r="R312" s="2" t="e">
        <f t="shared" si="121"/>
        <v>#VALUE!</v>
      </c>
      <c r="S312" s="2" t="e">
        <f t="shared" si="122"/>
        <v>#VALUE!</v>
      </c>
      <c r="T312" s="2" t="e">
        <f t="shared" ca="1" si="109"/>
        <v>#VALUE!</v>
      </c>
      <c r="U312" s="2" t="e">
        <f t="shared" si="123"/>
        <v>#VALUE!</v>
      </c>
      <c r="V312" s="2" t="e">
        <f t="shared" si="110"/>
        <v>#VALUE!</v>
      </c>
      <c r="W312" s="2">
        <f t="shared" si="111"/>
        <v>477.4153</v>
      </c>
      <c r="X312" s="2" t="e">
        <f t="shared" ca="1" si="112"/>
        <v>#VALUE!</v>
      </c>
      <c r="Y312" s="2" t="e">
        <f t="shared" ca="1" si="113"/>
        <v>#VALUE!</v>
      </c>
      <c r="Z312" s="10">
        <f t="shared" si="114"/>
        <v>0.39254306980130727</v>
      </c>
      <c r="AA312" s="10" t="e">
        <f t="shared" ca="1" si="101"/>
        <v>#VALUE!</v>
      </c>
      <c r="AB312" s="11" t="e">
        <f t="shared" si="115"/>
        <v>#VALUE!</v>
      </c>
      <c r="AC312" s="11" t="e">
        <f>SUM($S$31:S312)/$V$31</f>
        <v>#VALUE!</v>
      </c>
      <c r="AD312" s="11" t="e">
        <f>SUM($S$31:S312,$R$31:R312,$T$31:T312)/$V$31</f>
        <v>#VALUE!</v>
      </c>
      <c r="AE312" s="11" t="e">
        <f>SUM($M$31:M312)/$V$31</f>
        <v>#VALUE!</v>
      </c>
      <c r="AF312" s="11" t="e">
        <f ca="1">SUM(SUM($M$31:M312),-SUM($T$31:T312))/$V$31</f>
        <v>#VALUE!</v>
      </c>
      <c r="AG312">
        <f t="shared" si="102"/>
        <v>79242</v>
      </c>
    </row>
    <row r="313" spans="2:33" x14ac:dyDescent="0.15">
      <c r="B313" s="1">
        <f t="shared" si="116"/>
        <v>282</v>
      </c>
      <c r="C313" s="1">
        <f t="shared" si="103"/>
        <v>282</v>
      </c>
      <c r="D313" s="25">
        <v>3.5315992893972199E-2</v>
      </c>
      <c r="E313" s="2">
        <f t="shared" si="104"/>
        <v>33110.329080204232</v>
      </c>
      <c r="F313" s="3">
        <f t="shared" si="117"/>
        <v>0.04</v>
      </c>
      <c r="G313" s="2">
        <f t="shared" si="118"/>
        <v>477.4153</v>
      </c>
      <c r="H313" s="2">
        <f t="shared" si="119"/>
        <v>110.36776360068077</v>
      </c>
      <c r="I313" s="2">
        <f t="shared" si="120"/>
        <v>367.04753639931926</v>
      </c>
      <c r="J313" s="2">
        <f t="shared" si="105"/>
        <v>32743.281543804911</v>
      </c>
      <c r="K313" s="2" t="e">
        <f t="shared" si="124"/>
        <v>#VALUE!</v>
      </c>
      <c r="L313" s="9">
        <v>1.6821425527395739E-3</v>
      </c>
      <c r="M313" s="2" t="e">
        <f t="shared" si="106"/>
        <v>#VALUE!</v>
      </c>
      <c r="N313" s="3">
        <f t="shared" si="107"/>
        <v>0.04</v>
      </c>
      <c r="O313" s="2" t="e">
        <f t="shared" si="108"/>
        <v>#VALUE!</v>
      </c>
      <c r="P313" s="10">
        <f t="shared" si="100"/>
        <v>0.32743281543804909</v>
      </c>
      <c r="Q313" s="13"/>
      <c r="R313" s="2" t="e">
        <f t="shared" si="121"/>
        <v>#VALUE!</v>
      </c>
      <c r="S313" s="2" t="e">
        <f t="shared" si="122"/>
        <v>#VALUE!</v>
      </c>
      <c r="T313" s="2" t="e">
        <f t="shared" ca="1" si="109"/>
        <v>#VALUE!</v>
      </c>
      <c r="U313" s="2" t="e">
        <f t="shared" si="123"/>
        <v>#VALUE!</v>
      </c>
      <c r="V313" s="2" t="e">
        <f t="shared" si="110"/>
        <v>#VALUE!</v>
      </c>
      <c r="W313" s="2">
        <f t="shared" si="111"/>
        <v>477.4153</v>
      </c>
      <c r="X313" s="2" t="e">
        <f t="shared" ca="1" si="112"/>
        <v>#VALUE!</v>
      </c>
      <c r="Y313" s="2" t="e">
        <f t="shared" ca="1" si="113"/>
        <v>#VALUE!</v>
      </c>
      <c r="Z313" s="10">
        <f t="shared" si="114"/>
        <v>0.39123894000163656</v>
      </c>
      <c r="AA313" s="10" t="e">
        <f t="shared" ca="1" si="101"/>
        <v>#VALUE!</v>
      </c>
      <c r="AB313" s="11" t="e">
        <f t="shared" si="115"/>
        <v>#VALUE!</v>
      </c>
      <c r="AC313" s="11" t="e">
        <f>SUM($S$31:S313)/$V$31</f>
        <v>#VALUE!</v>
      </c>
      <c r="AD313" s="11" t="e">
        <f>SUM($S$31:S313,$R$31:R313,$T$31:T313)/$V$31</f>
        <v>#VALUE!</v>
      </c>
      <c r="AE313" s="11" t="e">
        <f>SUM($M$31:M313)/$V$31</f>
        <v>#VALUE!</v>
      </c>
      <c r="AF313" s="11" t="e">
        <f ca="1">SUM(SUM($M$31:M313),-SUM($T$31:T313))/$V$31</f>
        <v>#VALUE!</v>
      </c>
      <c r="AG313">
        <f t="shared" si="102"/>
        <v>79806</v>
      </c>
    </row>
    <row r="314" spans="2:33" x14ac:dyDescent="0.15">
      <c r="B314" s="1">
        <f t="shared" si="116"/>
        <v>283</v>
      </c>
      <c r="C314" s="1">
        <f t="shared" si="103"/>
        <v>283</v>
      </c>
      <c r="D314" s="25">
        <v>3.5311580126353499E-2</v>
      </c>
      <c r="E314" s="2">
        <f t="shared" si="104"/>
        <v>32743.281543804911</v>
      </c>
      <c r="F314" s="3">
        <f t="shared" si="117"/>
        <v>0.04</v>
      </c>
      <c r="G314" s="2">
        <f t="shared" si="118"/>
        <v>477.4153</v>
      </c>
      <c r="H314" s="2">
        <f t="shared" si="119"/>
        <v>109.14427181268304</v>
      </c>
      <c r="I314" s="2">
        <f t="shared" si="120"/>
        <v>368.27102818731697</v>
      </c>
      <c r="J314" s="2">
        <f t="shared" si="105"/>
        <v>32375.010515617592</v>
      </c>
      <c r="K314" s="2" t="e">
        <f t="shared" si="124"/>
        <v>#VALUE!</v>
      </c>
      <c r="L314" s="9">
        <v>1.6821425527395739E-3</v>
      </c>
      <c r="M314" s="2" t="e">
        <f t="shared" si="106"/>
        <v>#VALUE!</v>
      </c>
      <c r="N314" s="3">
        <f t="shared" si="107"/>
        <v>0.04</v>
      </c>
      <c r="O314" s="2" t="e">
        <f t="shared" si="108"/>
        <v>#VALUE!</v>
      </c>
      <c r="P314" s="10">
        <f t="shared" si="100"/>
        <v>0.32375010515617592</v>
      </c>
      <c r="Q314" s="13"/>
      <c r="R314" s="2" t="e">
        <f t="shared" si="121"/>
        <v>#VALUE!</v>
      </c>
      <c r="S314" s="2" t="e">
        <f t="shared" si="122"/>
        <v>#VALUE!</v>
      </c>
      <c r="T314" s="2" t="e">
        <f t="shared" ca="1" si="109"/>
        <v>#VALUE!</v>
      </c>
      <c r="U314" s="2" t="e">
        <f t="shared" si="123"/>
        <v>#VALUE!</v>
      </c>
      <c r="V314" s="2" t="e">
        <f t="shared" si="110"/>
        <v>#VALUE!</v>
      </c>
      <c r="W314" s="2">
        <f t="shared" si="111"/>
        <v>477.4153</v>
      </c>
      <c r="X314" s="2" t="e">
        <f t="shared" ca="1" si="112"/>
        <v>#VALUE!</v>
      </c>
      <c r="Y314" s="2" t="e">
        <f t="shared" ca="1" si="113"/>
        <v>#VALUE!</v>
      </c>
      <c r="Z314" s="10">
        <f t="shared" si="114"/>
        <v>0.38993914285910652</v>
      </c>
      <c r="AA314" s="10" t="e">
        <f t="shared" ca="1" si="101"/>
        <v>#VALUE!</v>
      </c>
      <c r="AB314" s="11" t="e">
        <f t="shared" si="115"/>
        <v>#VALUE!</v>
      </c>
      <c r="AC314" s="11" t="e">
        <f>SUM($S$31:S314)/$V$31</f>
        <v>#VALUE!</v>
      </c>
      <c r="AD314" s="11" t="e">
        <f>SUM($S$31:S314,$R$31:R314,$T$31:T314)/$V$31</f>
        <v>#VALUE!</v>
      </c>
      <c r="AE314" s="11" t="e">
        <f>SUM($M$31:M314)/$V$31</f>
        <v>#VALUE!</v>
      </c>
      <c r="AF314" s="11" t="e">
        <f ca="1">SUM(SUM($M$31:M314),-SUM($T$31:T314))/$V$31</f>
        <v>#VALUE!</v>
      </c>
      <c r="AG314">
        <f t="shared" si="102"/>
        <v>80372</v>
      </c>
    </row>
    <row r="315" spans="2:33" x14ac:dyDescent="0.15">
      <c r="B315" s="1">
        <f t="shared" si="116"/>
        <v>284</v>
      </c>
      <c r="C315" s="1">
        <f t="shared" si="103"/>
        <v>284</v>
      </c>
      <c r="D315" s="25">
        <v>3.5305833324427403E-2</v>
      </c>
      <c r="E315" s="2">
        <f t="shared" si="104"/>
        <v>32375.010515617592</v>
      </c>
      <c r="F315" s="3">
        <f t="shared" si="117"/>
        <v>0.04</v>
      </c>
      <c r="G315" s="2">
        <f t="shared" si="118"/>
        <v>477.4153</v>
      </c>
      <c r="H315" s="2">
        <f t="shared" si="119"/>
        <v>107.91670171872532</v>
      </c>
      <c r="I315" s="2">
        <f t="shared" si="120"/>
        <v>369.49859828127467</v>
      </c>
      <c r="J315" s="2">
        <f t="shared" si="105"/>
        <v>32005.511917336316</v>
      </c>
      <c r="K315" s="2" t="e">
        <f t="shared" si="124"/>
        <v>#VALUE!</v>
      </c>
      <c r="L315" s="9">
        <v>1.6821425527395739E-3</v>
      </c>
      <c r="M315" s="2" t="e">
        <f t="shared" si="106"/>
        <v>#VALUE!</v>
      </c>
      <c r="N315" s="3">
        <f t="shared" si="107"/>
        <v>0.04</v>
      </c>
      <c r="O315" s="2" t="e">
        <f t="shared" si="108"/>
        <v>#VALUE!</v>
      </c>
      <c r="P315" s="10">
        <f t="shared" si="100"/>
        <v>0.32005511917336316</v>
      </c>
      <c r="Q315" s="13"/>
      <c r="R315" s="2" t="e">
        <f t="shared" si="121"/>
        <v>#VALUE!</v>
      </c>
      <c r="S315" s="2" t="e">
        <f t="shared" si="122"/>
        <v>#VALUE!</v>
      </c>
      <c r="T315" s="2" t="e">
        <f t="shared" ca="1" si="109"/>
        <v>#VALUE!</v>
      </c>
      <c r="U315" s="2" t="e">
        <f t="shared" si="123"/>
        <v>#VALUE!</v>
      </c>
      <c r="V315" s="2" t="e">
        <f t="shared" si="110"/>
        <v>#VALUE!</v>
      </c>
      <c r="W315" s="2">
        <f t="shared" si="111"/>
        <v>477.4153</v>
      </c>
      <c r="X315" s="2" t="e">
        <f t="shared" ca="1" si="112"/>
        <v>#VALUE!</v>
      </c>
      <c r="Y315" s="2" t="e">
        <f t="shared" ca="1" si="113"/>
        <v>#VALUE!</v>
      </c>
      <c r="Z315" s="10">
        <f t="shared" si="114"/>
        <v>0.38864366397950739</v>
      </c>
      <c r="AA315" s="10" t="e">
        <f t="shared" ca="1" si="101"/>
        <v>#VALUE!</v>
      </c>
      <c r="AB315" s="11" t="e">
        <f t="shared" si="115"/>
        <v>#VALUE!</v>
      </c>
      <c r="AC315" s="11" t="e">
        <f>SUM($S$31:S315)/$V$31</f>
        <v>#VALUE!</v>
      </c>
      <c r="AD315" s="11" t="e">
        <f>SUM($S$31:S315,$R$31:R315,$T$31:T315)/$V$31</f>
        <v>#VALUE!</v>
      </c>
      <c r="AE315" s="11" t="e">
        <f>SUM($M$31:M315)/$V$31</f>
        <v>#VALUE!</v>
      </c>
      <c r="AF315" s="11" t="e">
        <f ca="1">SUM(SUM($M$31:M315),-SUM($T$31:T315))/$V$31</f>
        <v>#VALUE!</v>
      </c>
      <c r="AG315">
        <f t="shared" si="102"/>
        <v>80940</v>
      </c>
    </row>
    <row r="316" spans="2:33" x14ac:dyDescent="0.15">
      <c r="B316" s="1">
        <f t="shared" si="116"/>
        <v>285</v>
      </c>
      <c r="C316" s="1">
        <f t="shared" si="103"/>
        <v>285</v>
      </c>
      <c r="D316" s="25">
        <v>3.5303931009700799E-2</v>
      </c>
      <c r="E316" s="2">
        <f t="shared" si="104"/>
        <v>32005.511917336316</v>
      </c>
      <c r="F316" s="3">
        <f t="shared" si="117"/>
        <v>0.04</v>
      </c>
      <c r="G316" s="2">
        <f t="shared" si="118"/>
        <v>477.4153</v>
      </c>
      <c r="H316" s="2">
        <f t="shared" si="119"/>
        <v>106.6850397244544</v>
      </c>
      <c r="I316" s="2">
        <f t="shared" si="120"/>
        <v>370.73026027554562</v>
      </c>
      <c r="J316" s="2">
        <f t="shared" si="105"/>
        <v>31634.781657060772</v>
      </c>
      <c r="K316" s="2" t="e">
        <f t="shared" si="124"/>
        <v>#VALUE!</v>
      </c>
      <c r="L316" s="9">
        <v>1.6821425527395739E-3</v>
      </c>
      <c r="M316" s="2" t="e">
        <f t="shared" si="106"/>
        <v>#VALUE!</v>
      </c>
      <c r="N316" s="3">
        <f t="shared" si="107"/>
        <v>0.04</v>
      </c>
      <c r="O316" s="2" t="e">
        <f t="shared" si="108"/>
        <v>#VALUE!</v>
      </c>
      <c r="P316" s="10">
        <f t="shared" si="100"/>
        <v>0.31634781657060773</v>
      </c>
      <c r="Q316" s="13"/>
      <c r="R316" s="2" t="e">
        <f t="shared" si="121"/>
        <v>#VALUE!</v>
      </c>
      <c r="S316" s="2" t="e">
        <f t="shared" si="122"/>
        <v>#VALUE!</v>
      </c>
      <c r="T316" s="2" t="e">
        <f t="shared" ca="1" si="109"/>
        <v>#VALUE!</v>
      </c>
      <c r="U316" s="2" t="e">
        <f t="shared" si="123"/>
        <v>#VALUE!</v>
      </c>
      <c r="V316" s="2" t="e">
        <f t="shared" si="110"/>
        <v>#VALUE!</v>
      </c>
      <c r="W316" s="2">
        <f t="shared" si="111"/>
        <v>477.4153</v>
      </c>
      <c r="X316" s="2" t="e">
        <f t="shared" ca="1" si="112"/>
        <v>#VALUE!</v>
      </c>
      <c r="Y316" s="2" t="e">
        <f t="shared" ca="1" si="113"/>
        <v>#VALUE!</v>
      </c>
      <c r="Z316" s="10">
        <f t="shared" si="114"/>
        <v>0.38735248901645075</v>
      </c>
      <c r="AA316" s="10" t="e">
        <f t="shared" ca="1" si="101"/>
        <v>#VALUE!</v>
      </c>
      <c r="AB316" s="11" t="e">
        <f t="shared" si="115"/>
        <v>#VALUE!</v>
      </c>
      <c r="AC316" s="11" t="e">
        <f>SUM($S$31:S316)/$V$31</f>
        <v>#VALUE!</v>
      </c>
      <c r="AD316" s="11" t="e">
        <f>SUM($S$31:S316,$R$31:R316,$T$31:T316)/$V$31</f>
        <v>#VALUE!</v>
      </c>
      <c r="AE316" s="11" t="e">
        <f>SUM($M$31:M316)/$V$31</f>
        <v>#VALUE!</v>
      </c>
      <c r="AF316" s="11" t="e">
        <f ca="1">SUM(SUM($M$31:M316),-SUM($T$31:T316))/$V$31</f>
        <v>#VALUE!</v>
      </c>
      <c r="AG316">
        <f t="shared" si="102"/>
        <v>81510</v>
      </c>
    </row>
    <row r="317" spans="2:33" x14ac:dyDescent="0.15">
      <c r="B317" s="1">
        <f t="shared" si="116"/>
        <v>286</v>
      </c>
      <c r="C317" s="1">
        <f t="shared" si="103"/>
        <v>286</v>
      </c>
      <c r="D317" s="25">
        <v>3.5298870526976202E-2</v>
      </c>
      <c r="E317" s="2">
        <f t="shared" si="104"/>
        <v>31634.781657060772</v>
      </c>
      <c r="F317" s="3">
        <f t="shared" si="117"/>
        <v>0.04</v>
      </c>
      <c r="G317" s="2">
        <f t="shared" si="118"/>
        <v>477.4153</v>
      </c>
      <c r="H317" s="2">
        <f t="shared" si="119"/>
        <v>105.44927219020258</v>
      </c>
      <c r="I317" s="2">
        <f t="shared" si="120"/>
        <v>371.96602780979742</v>
      </c>
      <c r="J317" s="2">
        <f t="shared" si="105"/>
        <v>31262.815629250974</v>
      </c>
      <c r="K317" s="2" t="e">
        <f t="shared" si="124"/>
        <v>#VALUE!</v>
      </c>
      <c r="L317" s="9">
        <v>1.6821425527395739E-3</v>
      </c>
      <c r="M317" s="2" t="e">
        <f t="shared" si="106"/>
        <v>#VALUE!</v>
      </c>
      <c r="N317" s="3">
        <f t="shared" si="107"/>
        <v>0.04</v>
      </c>
      <c r="O317" s="2" t="e">
        <f t="shared" si="108"/>
        <v>#VALUE!</v>
      </c>
      <c r="P317" s="10">
        <f t="shared" si="100"/>
        <v>0.31262815629250973</v>
      </c>
      <c r="Q317" s="13"/>
      <c r="R317" s="2" t="e">
        <f t="shared" si="121"/>
        <v>#VALUE!</v>
      </c>
      <c r="S317" s="2" t="e">
        <f t="shared" si="122"/>
        <v>#VALUE!</v>
      </c>
      <c r="T317" s="2" t="e">
        <f t="shared" ca="1" si="109"/>
        <v>#VALUE!</v>
      </c>
      <c r="U317" s="2" t="e">
        <f t="shared" si="123"/>
        <v>#VALUE!</v>
      </c>
      <c r="V317" s="2" t="e">
        <f t="shared" si="110"/>
        <v>#VALUE!</v>
      </c>
      <c r="W317" s="2">
        <f t="shared" si="111"/>
        <v>477.4153</v>
      </c>
      <c r="X317" s="2" t="e">
        <f t="shared" ca="1" si="112"/>
        <v>#VALUE!</v>
      </c>
      <c r="Y317" s="2" t="e">
        <f t="shared" ca="1" si="113"/>
        <v>#VALUE!</v>
      </c>
      <c r="Z317" s="10">
        <f t="shared" si="114"/>
        <v>0.38606560367121018</v>
      </c>
      <c r="AA317" s="10" t="e">
        <f t="shared" ca="1" si="101"/>
        <v>#VALUE!</v>
      </c>
      <c r="AB317" s="11" t="e">
        <f t="shared" si="115"/>
        <v>#VALUE!</v>
      </c>
      <c r="AC317" s="11" t="e">
        <f>SUM($S$31:S317)/$V$31</f>
        <v>#VALUE!</v>
      </c>
      <c r="AD317" s="11" t="e">
        <f>SUM($S$31:S317,$R$31:R317,$T$31:T317)/$V$31</f>
        <v>#VALUE!</v>
      </c>
      <c r="AE317" s="11" t="e">
        <f>SUM($M$31:M317)/$V$31</f>
        <v>#VALUE!</v>
      </c>
      <c r="AF317" s="11" t="e">
        <f ca="1">SUM(SUM($M$31:M317),-SUM($T$31:T317))/$V$31</f>
        <v>#VALUE!</v>
      </c>
      <c r="AG317">
        <f t="shared" si="102"/>
        <v>82082</v>
      </c>
    </row>
    <row r="318" spans="2:33" x14ac:dyDescent="0.15">
      <c r="B318" s="1">
        <f t="shared" si="116"/>
        <v>287</v>
      </c>
      <c r="C318" s="1">
        <f t="shared" si="103"/>
        <v>287</v>
      </c>
      <c r="D318" s="25">
        <v>3.5297653159224701E-2</v>
      </c>
      <c r="E318" s="2">
        <f t="shared" si="104"/>
        <v>31262.815629250974</v>
      </c>
      <c r="F318" s="3">
        <f t="shared" si="117"/>
        <v>0.04</v>
      </c>
      <c r="G318" s="2">
        <f t="shared" si="118"/>
        <v>477.4153</v>
      </c>
      <c r="H318" s="2">
        <f t="shared" si="119"/>
        <v>104.20938543083659</v>
      </c>
      <c r="I318" s="2">
        <f t="shared" si="120"/>
        <v>373.20591456916338</v>
      </c>
      <c r="J318" s="2">
        <f t="shared" si="105"/>
        <v>30889.60971468181</v>
      </c>
      <c r="K318" s="2" t="e">
        <f t="shared" si="124"/>
        <v>#VALUE!</v>
      </c>
      <c r="L318" s="9">
        <v>1.6821425527395739E-3</v>
      </c>
      <c r="M318" s="2" t="e">
        <f t="shared" si="106"/>
        <v>#VALUE!</v>
      </c>
      <c r="N318" s="3">
        <f t="shared" si="107"/>
        <v>0.04</v>
      </c>
      <c r="O318" s="2" t="e">
        <f t="shared" si="108"/>
        <v>#VALUE!</v>
      </c>
      <c r="P318" s="10">
        <f t="shared" si="100"/>
        <v>0.30889609714681809</v>
      </c>
      <c r="Q318" s="13"/>
      <c r="R318" s="2" t="e">
        <f t="shared" si="121"/>
        <v>#VALUE!</v>
      </c>
      <c r="S318" s="2" t="e">
        <f t="shared" si="122"/>
        <v>#VALUE!</v>
      </c>
      <c r="T318" s="2" t="e">
        <f t="shared" ca="1" si="109"/>
        <v>#VALUE!</v>
      </c>
      <c r="U318" s="2" t="e">
        <f t="shared" si="123"/>
        <v>#VALUE!</v>
      </c>
      <c r="V318" s="2" t="e">
        <f t="shared" si="110"/>
        <v>#VALUE!</v>
      </c>
      <c r="W318" s="2">
        <f t="shared" si="111"/>
        <v>477.4153</v>
      </c>
      <c r="X318" s="2" t="e">
        <f t="shared" ca="1" si="112"/>
        <v>#VALUE!</v>
      </c>
      <c r="Y318" s="2" t="e">
        <f t="shared" ca="1" si="113"/>
        <v>#VALUE!</v>
      </c>
      <c r="Z318" s="10">
        <f t="shared" si="114"/>
        <v>0.38478299369256436</v>
      </c>
      <c r="AA318" s="10" t="e">
        <f t="shared" ca="1" si="101"/>
        <v>#VALUE!</v>
      </c>
      <c r="AB318" s="11" t="e">
        <f t="shared" si="115"/>
        <v>#VALUE!</v>
      </c>
      <c r="AC318" s="11" t="e">
        <f>SUM($S$31:S318)/$V$31</f>
        <v>#VALUE!</v>
      </c>
      <c r="AD318" s="11" t="e">
        <f>SUM($S$31:S318,$R$31:R318,$T$31:T318)/$V$31</f>
        <v>#VALUE!</v>
      </c>
      <c r="AE318" s="11" t="e">
        <f>SUM($M$31:M318)/$V$31</f>
        <v>#VALUE!</v>
      </c>
      <c r="AF318" s="11" t="e">
        <f ca="1">SUM(SUM($M$31:M318),-SUM($T$31:T318))/$V$31</f>
        <v>#VALUE!</v>
      </c>
      <c r="AG318">
        <f t="shared" si="102"/>
        <v>82656</v>
      </c>
    </row>
    <row r="319" spans="2:33" x14ac:dyDescent="0.15">
      <c r="B319" s="1">
        <f t="shared" si="116"/>
        <v>288</v>
      </c>
      <c r="C319" s="1">
        <f t="shared" si="103"/>
        <v>288</v>
      </c>
      <c r="D319" s="25">
        <v>3.52949882862343E-2</v>
      </c>
      <c r="E319" s="2">
        <f t="shared" si="104"/>
        <v>30889.60971468181</v>
      </c>
      <c r="F319" s="3">
        <f t="shared" si="117"/>
        <v>0.04</v>
      </c>
      <c r="G319" s="2">
        <f t="shared" si="118"/>
        <v>477.4153</v>
      </c>
      <c r="H319" s="2">
        <f t="shared" si="119"/>
        <v>102.96536571560604</v>
      </c>
      <c r="I319" s="2">
        <f t="shared" si="120"/>
        <v>374.44993428439398</v>
      </c>
      <c r="J319" s="2">
        <f t="shared" si="105"/>
        <v>30515.159780397415</v>
      </c>
      <c r="K319" s="2" t="e">
        <f t="shared" si="124"/>
        <v>#VALUE!</v>
      </c>
      <c r="L319" s="9">
        <v>1.6821425527395739E-3</v>
      </c>
      <c r="M319" s="2" t="e">
        <f t="shared" si="106"/>
        <v>#VALUE!</v>
      </c>
      <c r="N319" s="3">
        <f t="shared" si="107"/>
        <v>0.04</v>
      </c>
      <c r="O319" s="2" t="e">
        <f t="shared" si="108"/>
        <v>#VALUE!</v>
      </c>
      <c r="P319" s="10">
        <f t="shared" si="100"/>
        <v>0.30515159780397416</v>
      </c>
      <c r="Q319" s="13"/>
      <c r="R319" s="2" t="e">
        <f t="shared" si="121"/>
        <v>#VALUE!</v>
      </c>
      <c r="S319" s="2" t="e">
        <f t="shared" si="122"/>
        <v>#VALUE!</v>
      </c>
      <c r="T319" s="2" t="e">
        <f t="shared" ca="1" si="109"/>
        <v>#VALUE!</v>
      </c>
      <c r="U319" s="2" t="e">
        <f t="shared" si="123"/>
        <v>#VALUE!</v>
      </c>
      <c r="V319" s="2" t="e">
        <f t="shared" si="110"/>
        <v>#VALUE!</v>
      </c>
      <c r="W319" s="2">
        <f t="shared" si="111"/>
        <v>477.4153</v>
      </c>
      <c r="X319" s="2" t="e">
        <f t="shared" ca="1" si="112"/>
        <v>#VALUE!</v>
      </c>
      <c r="Y319" s="2" t="e">
        <f t="shared" ca="1" si="113"/>
        <v>#VALUE!</v>
      </c>
      <c r="Z319" s="10">
        <f t="shared" si="114"/>
        <v>0.38350464487663705</v>
      </c>
      <c r="AA319" s="10" t="e">
        <f t="shared" ca="1" si="101"/>
        <v>#VALUE!</v>
      </c>
      <c r="AB319" s="11" t="e">
        <f t="shared" si="115"/>
        <v>#VALUE!</v>
      </c>
      <c r="AC319" s="11" t="e">
        <f>SUM($S$31:S319)/$V$31</f>
        <v>#VALUE!</v>
      </c>
      <c r="AD319" s="11" t="e">
        <f>SUM($S$31:S319,$R$31:R319,$T$31:T319)/$V$31</f>
        <v>#VALUE!</v>
      </c>
      <c r="AE319" s="11" t="e">
        <f>SUM($M$31:M319)/$V$31</f>
        <v>#VALUE!</v>
      </c>
      <c r="AF319" s="11" t="e">
        <f ca="1">SUM(SUM($M$31:M319),-SUM($T$31:T319))/$V$31</f>
        <v>#VALUE!</v>
      </c>
      <c r="AG319">
        <f t="shared" si="102"/>
        <v>83232</v>
      </c>
    </row>
    <row r="320" spans="2:33" x14ac:dyDescent="0.15">
      <c r="B320" s="1">
        <f t="shared" si="116"/>
        <v>289</v>
      </c>
      <c r="C320" s="1">
        <f t="shared" si="103"/>
        <v>289</v>
      </c>
      <c r="D320" s="25">
        <v>3.5287533521419404E-2</v>
      </c>
      <c r="E320" s="2">
        <f t="shared" si="104"/>
        <v>30515.159780397415</v>
      </c>
      <c r="F320" s="3">
        <f t="shared" si="117"/>
        <v>0.04</v>
      </c>
      <c r="G320" s="2">
        <f t="shared" si="118"/>
        <v>477.4153</v>
      </c>
      <c r="H320" s="2">
        <f t="shared" si="119"/>
        <v>101.71719926799139</v>
      </c>
      <c r="I320" s="2">
        <f t="shared" si="120"/>
        <v>375.69810073200858</v>
      </c>
      <c r="J320" s="2">
        <f t="shared" si="105"/>
        <v>30139.461679665405</v>
      </c>
      <c r="K320" s="2" t="e">
        <f t="shared" si="124"/>
        <v>#VALUE!</v>
      </c>
      <c r="L320" s="9">
        <v>1.6821425527395739E-3</v>
      </c>
      <c r="M320" s="2" t="e">
        <f t="shared" si="106"/>
        <v>#VALUE!</v>
      </c>
      <c r="N320" s="3">
        <f t="shared" si="107"/>
        <v>0.04</v>
      </c>
      <c r="O320" s="2" t="e">
        <f t="shared" si="108"/>
        <v>#VALUE!</v>
      </c>
      <c r="P320" s="10">
        <f t="shared" si="100"/>
        <v>0.30139461679665402</v>
      </c>
      <c r="Q320" s="13"/>
      <c r="R320" s="2" t="e">
        <f t="shared" si="121"/>
        <v>#VALUE!</v>
      </c>
      <c r="S320" s="2" t="e">
        <f t="shared" si="122"/>
        <v>#VALUE!</v>
      </c>
      <c r="T320" s="2" t="e">
        <f t="shared" ca="1" si="109"/>
        <v>#VALUE!</v>
      </c>
      <c r="U320" s="2" t="e">
        <f t="shared" si="123"/>
        <v>#VALUE!</v>
      </c>
      <c r="V320" s="2" t="e">
        <f t="shared" si="110"/>
        <v>#VALUE!</v>
      </c>
      <c r="W320" s="2">
        <f t="shared" si="111"/>
        <v>477.4153</v>
      </c>
      <c r="X320" s="2" t="e">
        <f t="shared" ca="1" si="112"/>
        <v>#VALUE!</v>
      </c>
      <c r="Y320" s="2" t="e">
        <f t="shared" ca="1" si="113"/>
        <v>#VALUE!</v>
      </c>
      <c r="Z320" s="10">
        <f t="shared" si="114"/>
        <v>0.38223054306674165</v>
      </c>
      <c r="AA320" s="10" t="e">
        <f t="shared" ca="1" si="101"/>
        <v>#VALUE!</v>
      </c>
      <c r="AB320" s="11" t="e">
        <f t="shared" si="115"/>
        <v>#VALUE!</v>
      </c>
      <c r="AC320" s="11" t="e">
        <f>SUM($S$31:S320)/$V$31</f>
        <v>#VALUE!</v>
      </c>
      <c r="AD320" s="11" t="e">
        <f>SUM($S$31:S320,$R$31:R320,$T$31:T320)/$V$31</f>
        <v>#VALUE!</v>
      </c>
      <c r="AE320" s="11" t="e">
        <f>SUM($M$31:M320)/$V$31</f>
        <v>#VALUE!</v>
      </c>
      <c r="AF320" s="11" t="e">
        <f ca="1">SUM(SUM($M$31:M320),-SUM($T$31:T320))/$V$31</f>
        <v>#VALUE!</v>
      </c>
      <c r="AG320">
        <f t="shared" si="102"/>
        <v>83810</v>
      </c>
    </row>
    <row r="321" spans="2:33" x14ac:dyDescent="0.15">
      <c r="B321" s="1">
        <f t="shared" si="116"/>
        <v>290</v>
      </c>
      <c r="C321" s="1">
        <f t="shared" si="103"/>
        <v>290</v>
      </c>
      <c r="D321" s="25">
        <v>3.5290894851660801E-2</v>
      </c>
      <c r="E321" s="2">
        <f t="shared" si="104"/>
        <v>30139.461679665405</v>
      </c>
      <c r="F321" s="3">
        <f t="shared" si="117"/>
        <v>0.04</v>
      </c>
      <c r="G321" s="2">
        <f t="shared" si="118"/>
        <v>477.4153</v>
      </c>
      <c r="H321" s="2">
        <f t="shared" si="119"/>
        <v>100.46487226555135</v>
      </c>
      <c r="I321" s="2">
        <f t="shared" si="120"/>
        <v>376.95042773444868</v>
      </c>
      <c r="J321" s="2">
        <f t="shared" si="105"/>
        <v>29762.511251930955</v>
      </c>
      <c r="K321" s="2" t="e">
        <f t="shared" si="124"/>
        <v>#VALUE!</v>
      </c>
      <c r="L321" s="9">
        <v>1.6821425527395739E-3</v>
      </c>
      <c r="M321" s="2" t="e">
        <f t="shared" si="106"/>
        <v>#VALUE!</v>
      </c>
      <c r="N321" s="3">
        <f t="shared" si="107"/>
        <v>0.04</v>
      </c>
      <c r="O321" s="2" t="e">
        <f t="shared" si="108"/>
        <v>#VALUE!</v>
      </c>
      <c r="P321" s="10">
        <f t="shared" si="100"/>
        <v>0.29762511251930956</v>
      </c>
      <c r="Q321" s="13"/>
      <c r="R321" s="2" t="e">
        <f t="shared" si="121"/>
        <v>#VALUE!</v>
      </c>
      <c r="S321" s="2" t="e">
        <f t="shared" si="122"/>
        <v>#VALUE!</v>
      </c>
      <c r="T321" s="2" t="e">
        <f t="shared" ca="1" si="109"/>
        <v>#VALUE!</v>
      </c>
      <c r="U321" s="2" t="e">
        <f t="shared" si="123"/>
        <v>#VALUE!</v>
      </c>
      <c r="V321" s="2" t="e">
        <f t="shared" si="110"/>
        <v>#VALUE!</v>
      </c>
      <c r="W321" s="2">
        <f t="shared" si="111"/>
        <v>477.4153</v>
      </c>
      <c r="X321" s="2" t="e">
        <f t="shared" ca="1" si="112"/>
        <v>#VALUE!</v>
      </c>
      <c r="Y321" s="2" t="e">
        <f t="shared" ca="1" si="113"/>
        <v>#VALUE!</v>
      </c>
      <c r="Z321" s="10">
        <f t="shared" si="114"/>
        <v>0.38096067415322354</v>
      </c>
      <c r="AA321" s="10" t="e">
        <f t="shared" ca="1" si="101"/>
        <v>#VALUE!</v>
      </c>
      <c r="AB321" s="11" t="e">
        <f t="shared" si="115"/>
        <v>#VALUE!</v>
      </c>
      <c r="AC321" s="11" t="e">
        <f>SUM($S$31:S321)/$V$31</f>
        <v>#VALUE!</v>
      </c>
      <c r="AD321" s="11" t="e">
        <f>SUM($S$31:S321,$R$31:R321,$T$31:T321)/$V$31</f>
        <v>#VALUE!</v>
      </c>
      <c r="AE321" s="11" t="e">
        <f>SUM($M$31:M321)/$V$31</f>
        <v>#VALUE!</v>
      </c>
      <c r="AF321" s="11" t="e">
        <f ca="1">SUM(SUM($M$31:M321),-SUM($T$31:T321))/$V$31</f>
        <v>#VALUE!</v>
      </c>
      <c r="AG321">
        <f t="shared" si="102"/>
        <v>84390</v>
      </c>
    </row>
    <row r="322" spans="2:33" x14ac:dyDescent="0.15">
      <c r="B322" s="1">
        <f t="shared" si="116"/>
        <v>291</v>
      </c>
      <c r="C322" s="1">
        <f t="shared" si="103"/>
        <v>291</v>
      </c>
      <c r="D322" s="25">
        <v>3.5287532704498602E-2</v>
      </c>
      <c r="E322" s="2">
        <f t="shared" si="104"/>
        <v>29762.511251930955</v>
      </c>
      <c r="F322" s="3">
        <f t="shared" si="117"/>
        <v>0.04</v>
      </c>
      <c r="G322" s="2">
        <f t="shared" si="118"/>
        <v>477.4153</v>
      </c>
      <c r="H322" s="2">
        <f t="shared" si="119"/>
        <v>99.208370839769856</v>
      </c>
      <c r="I322" s="2">
        <f t="shared" si="120"/>
        <v>378.20692916023017</v>
      </c>
      <c r="J322" s="2">
        <f t="shared" si="105"/>
        <v>29384.304322770724</v>
      </c>
      <c r="K322" s="2" t="e">
        <f t="shared" si="124"/>
        <v>#VALUE!</v>
      </c>
      <c r="L322" s="9">
        <v>1.6821425527395739E-3</v>
      </c>
      <c r="M322" s="2" t="e">
        <f t="shared" si="106"/>
        <v>#VALUE!</v>
      </c>
      <c r="N322" s="3">
        <f t="shared" si="107"/>
        <v>0.04</v>
      </c>
      <c r="O322" s="2" t="e">
        <f t="shared" si="108"/>
        <v>#VALUE!</v>
      </c>
      <c r="P322" s="10">
        <f t="shared" si="100"/>
        <v>0.29384304322770721</v>
      </c>
      <c r="Q322" s="13"/>
      <c r="R322" s="2" t="e">
        <f t="shared" si="121"/>
        <v>#VALUE!</v>
      </c>
      <c r="S322" s="2" t="e">
        <f t="shared" si="122"/>
        <v>#VALUE!</v>
      </c>
      <c r="T322" s="2" t="e">
        <f t="shared" ca="1" si="109"/>
        <v>#VALUE!</v>
      </c>
      <c r="U322" s="2" t="e">
        <f t="shared" si="123"/>
        <v>#VALUE!</v>
      </c>
      <c r="V322" s="2" t="e">
        <f t="shared" si="110"/>
        <v>#VALUE!</v>
      </c>
      <c r="W322" s="2">
        <f t="shared" si="111"/>
        <v>477.4153</v>
      </c>
      <c r="X322" s="2" t="e">
        <f t="shared" ca="1" si="112"/>
        <v>#VALUE!</v>
      </c>
      <c r="Y322" s="2" t="e">
        <f t="shared" ca="1" si="113"/>
        <v>#VALUE!</v>
      </c>
      <c r="Z322" s="10">
        <f t="shared" si="114"/>
        <v>0.37969502407330408</v>
      </c>
      <c r="AA322" s="10" t="e">
        <f t="shared" ca="1" si="101"/>
        <v>#VALUE!</v>
      </c>
      <c r="AB322" s="11" t="e">
        <f t="shared" si="115"/>
        <v>#VALUE!</v>
      </c>
      <c r="AC322" s="11" t="e">
        <f>SUM($S$31:S322)/$V$31</f>
        <v>#VALUE!</v>
      </c>
      <c r="AD322" s="11" t="e">
        <f>SUM($S$31:S322,$R$31:R322,$T$31:T322)/$V$31</f>
        <v>#VALUE!</v>
      </c>
      <c r="AE322" s="11" t="e">
        <f>SUM($M$31:M322)/$V$31</f>
        <v>#VALUE!</v>
      </c>
      <c r="AF322" s="11" t="e">
        <f ca="1">SUM(SUM($M$31:M322),-SUM($T$31:T322))/$V$31</f>
        <v>#VALUE!</v>
      </c>
      <c r="AG322">
        <f t="shared" si="102"/>
        <v>84972</v>
      </c>
    </row>
    <row r="323" spans="2:33" x14ac:dyDescent="0.15">
      <c r="B323" s="1">
        <f t="shared" si="116"/>
        <v>292</v>
      </c>
      <c r="C323" s="1">
        <f t="shared" si="103"/>
        <v>292</v>
      </c>
      <c r="D323" s="25">
        <v>3.5288011438450305E-2</v>
      </c>
      <c r="E323" s="2">
        <f t="shared" si="104"/>
        <v>29384.304322770724</v>
      </c>
      <c r="F323" s="3">
        <f t="shared" si="117"/>
        <v>0.04</v>
      </c>
      <c r="G323" s="2">
        <f t="shared" si="118"/>
        <v>477.4153</v>
      </c>
      <c r="H323" s="2">
        <f t="shared" si="119"/>
        <v>97.947681075902423</v>
      </c>
      <c r="I323" s="2">
        <f t="shared" si="120"/>
        <v>379.46761892409756</v>
      </c>
      <c r="J323" s="2">
        <f t="shared" si="105"/>
        <v>29004.836703846628</v>
      </c>
      <c r="K323" s="2" t="e">
        <f t="shared" si="124"/>
        <v>#VALUE!</v>
      </c>
      <c r="L323" s="9">
        <v>1.6821425527395739E-3</v>
      </c>
      <c r="M323" s="2" t="e">
        <f t="shared" si="106"/>
        <v>#VALUE!</v>
      </c>
      <c r="N323" s="3">
        <f t="shared" si="107"/>
        <v>0.04</v>
      </c>
      <c r="O323" s="2" t="e">
        <f t="shared" si="108"/>
        <v>#VALUE!</v>
      </c>
      <c r="P323" s="10">
        <f t="shared" si="100"/>
        <v>0.29004836703846626</v>
      </c>
      <c r="Q323" s="13"/>
      <c r="R323" s="2" t="e">
        <f t="shared" si="121"/>
        <v>#VALUE!</v>
      </c>
      <c r="S323" s="2" t="e">
        <f t="shared" si="122"/>
        <v>#VALUE!</v>
      </c>
      <c r="T323" s="2" t="e">
        <f t="shared" ca="1" si="109"/>
        <v>#VALUE!</v>
      </c>
      <c r="U323" s="2" t="e">
        <f t="shared" si="123"/>
        <v>#VALUE!</v>
      </c>
      <c r="V323" s="2" t="e">
        <f t="shared" si="110"/>
        <v>#VALUE!</v>
      </c>
      <c r="W323" s="2">
        <f t="shared" si="111"/>
        <v>477.4153</v>
      </c>
      <c r="X323" s="2" t="e">
        <f t="shared" ca="1" si="112"/>
        <v>#VALUE!</v>
      </c>
      <c r="Y323" s="2" t="e">
        <f t="shared" ca="1" si="113"/>
        <v>#VALUE!</v>
      </c>
      <c r="Z323" s="10">
        <f t="shared" si="114"/>
        <v>0.37843357881092488</v>
      </c>
      <c r="AA323" s="10" t="e">
        <f t="shared" ca="1" si="101"/>
        <v>#VALUE!</v>
      </c>
      <c r="AB323" s="11" t="e">
        <f t="shared" si="115"/>
        <v>#VALUE!</v>
      </c>
      <c r="AC323" s="11" t="e">
        <f>SUM($S$31:S323)/$V$31</f>
        <v>#VALUE!</v>
      </c>
      <c r="AD323" s="11" t="e">
        <f>SUM($S$31:S323,$R$31:R323,$T$31:T323)/$V$31</f>
        <v>#VALUE!</v>
      </c>
      <c r="AE323" s="11" t="e">
        <f>SUM($M$31:M323)/$V$31</f>
        <v>#VALUE!</v>
      </c>
      <c r="AF323" s="11" t="e">
        <f ca="1">SUM(SUM($M$31:M323),-SUM($T$31:T323))/$V$31</f>
        <v>#VALUE!</v>
      </c>
      <c r="AG323">
        <f t="shared" si="102"/>
        <v>85556</v>
      </c>
    </row>
    <row r="324" spans="2:33" x14ac:dyDescent="0.15">
      <c r="B324" s="1">
        <f t="shared" si="116"/>
        <v>293</v>
      </c>
      <c r="C324" s="1">
        <f t="shared" si="103"/>
        <v>293</v>
      </c>
      <c r="D324" s="25">
        <v>3.52853351380173E-2</v>
      </c>
      <c r="E324" s="2">
        <f t="shared" si="104"/>
        <v>29004.836703846628</v>
      </c>
      <c r="F324" s="3">
        <f t="shared" si="117"/>
        <v>0.04</v>
      </c>
      <c r="G324" s="2">
        <f t="shared" si="118"/>
        <v>477.4153</v>
      </c>
      <c r="H324" s="2">
        <f t="shared" si="119"/>
        <v>96.682789012822099</v>
      </c>
      <c r="I324" s="2">
        <f t="shared" si="120"/>
        <v>380.73251098717787</v>
      </c>
      <c r="J324" s="2">
        <f t="shared" si="105"/>
        <v>28624.10419285945</v>
      </c>
      <c r="K324" s="2" t="e">
        <f t="shared" si="124"/>
        <v>#VALUE!</v>
      </c>
      <c r="L324" s="9">
        <v>1.6821425527395739E-3</v>
      </c>
      <c r="M324" s="2" t="e">
        <f t="shared" si="106"/>
        <v>#VALUE!</v>
      </c>
      <c r="N324" s="3">
        <f t="shared" si="107"/>
        <v>0.04</v>
      </c>
      <c r="O324" s="2" t="e">
        <f t="shared" si="108"/>
        <v>#VALUE!</v>
      </c>
      <c r="P324" s="10">
        <f t="shared" si="100"/>
        <v>0.28624104192859451</v>
      </c>
      <c r="Q324" s="13"/>
      <c r="R324" s="2" t="e">
        <f t="shared" si="121"/>
        <v>#VALUE!</v>
      </c>
      <c r="S324" s="2" t="e">
        <f t="shared" si="122"/>
        <v>#VALUE!</v>
      </c>
      <c r="T324" s="2" t="e">
        <f t="shared" ca="1" si="109"/>
        <v>#VALUE!</v>
      </c>
      <c r="U324" s="2" t="e">
        <f t="shared" si="123"/>
        <v>#VALUE!</v>
      </c>
      <c r="V324" s="2" t="e">
        <f t="shared" si="110"/>
        <v>#VALUE!</v>
      </c>
      <c r="W324" s="2">
        <f t="shared" si="111"/>
        <v>477.4153</v>
      </c>
      <c r="X324" s="2" t="e">
        <f t="shared" ca="1" si="112"/>
        <v>#VALUE!</v>
      </c>
      <c r="Y324" s="2" t="e">
        <f t="shared" ca="1" si="113"/>
        <v>#VALUE!</v>
      </c>
      <c r="Z324" s="10">
        <f t="shared" si="114"/>
        <v>0.37717632439659232</v>
      </c>
      <c r="AA324" s="10" t="e">
        <f t="shared" ca="1" si="101"/>
        <v>#VALUE!</v>
      </c>
      <c r="AB324" s="11" t="e">
        <f t="shared" si="115"/>
        <v>#VALUE!</v>
      </c>
      <c r="AC324" s="11" t="e">
        <f>SUM($S$31:S324)/$V$31</f>
        <v>#VALUE!</v>
      </c>
      <c r="AD324" s="11" t="e">
        <f>SUM($S$31:S324,$R$31:R324,$T$31:T324)/$V$31</f>
        <v>#VALUE!</v>
      </c>
      <c r="AE324" s="11" t="e">
        <f>SUM($M$31:M324)/$V$31</f>
        <v>#VALUE!</v>
      </c>
      <c r="AF324" s="11" t="e">
        <f ca="1">SUM(SUM($M$31:M324),-SUM($T$31:T324))/$V$31</f>
        <v>#VALUE!</v>
      </c>
      <c r="AG324">
        <f t="shared" si="102"/>
        <v>86142</v>
      </c>
    </row>
    <row r="325" spans="2:33" x14ac:dyDescent="0.15">
      <c r="B325" s="1">
        <f t="shared" si="116"/>
        <v>294</v>
      </c>
      <c r="C325" s="1">
        <f t="shared" si="103"/>
        <v>294</v>
      </c>
      <c r="D325" s="25">
        <v>3.5286499285796399E-2</v>
      </c>
      <c r="E325" s="2">
        <f t="shared" si="104"/>
        <v>28624.10419285945</v>
      </c>
      <c r="F325" s="3">
        <f t="shared" si="117"/>
        <v>0.04</v>
      </c>
      <c r="G325" s="2">
        <f t="shared" si="118"/>
        <v>477.4153</v>
      </c>
      <c r="H325" s="2">
        <f t="shared" si="119"/>
        <v>95.413680642864833</v>
      </c>
      <c r="I325" s="2">
        <f t="shared" si="120"/>
        <v>382.00161935713516</v>
      </c>
      <c r="J325" s="2">
        <f t="shared" si="105"/>
        <v>28242.102573502314</v>
      </c>
      <c r="K325" s="2" t="e">
        <f t="shared" si="124"/>
        <v>#VALUE!</v>
      </c>
      <c r="L325" s="9">
        <v>1.6821425527395739E-3</v>
      </c>
      <c r="M325" s="2" t="e">
        <f t="shared" si="106"/>
        <v>#VALUE!</v>
      </c>
      <c r="N325" s="3">
        <f t="shared" si="107"/>
        <v>0.04</v>
      </c>
      <c r="O325" s="2" t="e">
        <f t="shared" si="108"/>
        <v>#VALUE!</v>
      </c>
      <c r="P325" s="10">
        <f t="shared" si="100"/>
        <v>0.28242102573502315</v>
      </c>
      <c r="Q325" s="13"/>
      <c r="R325" s="2" t="e">
        <f t="shared" si="121"/>
        <v>#VALUE!</v>
      </c>
      <c r="S325" s="2" t="e">
        <f t="shared" si="122"/>
        <v>#VALUE!</v>
      </c>
      <c r="T325" s="2" t="e">
        <f t="shared" ca="1" si="109"/>
        <v>#VALUE!</v>
      </c>
      <c r="U325" s="2" t="e">
        <f t="shared" si="123"/>
        <v>#VALUE!</v>
      </c>
      <c r="V325" s="2" t="e">
        <f t="shared" si="110"/>
        <v>#VALUE!</v>
      </c>
      <c r="W325" s="2">
        <f t="shared" si="111"/>
        <v>477.4153</v>
      </c>
      <c r="X325" s="2" t="e">
        <f t="shared" ca="1" si="112"/>
        <v>#VALUE!</v>
      </c>
      <c r="Y325" s="2" t="e">
        <f t="shared" ca="1" si="113"/>
        <v>#VALUE!</v>
      </c>
      <c r="Z325" s="10">
        <f t="shared" si="114"/>
        <v>0.37592324690722317</v>
      </c>
      <c r="AA325" s="10" t="e">
        <f t="shared" ca="1" si="101"/>
        <v>#VALUE!</v>
      </c>
      <c r="AB325" s="11" t="e">
        <f t="shared" si="115"/>
        <v>#VALUE!</v>
      </c>
      <c r="AC325" s="11" t="e">
        <f>SUM($S$31:S325)/$V$31</f>
        <v>#VALUE!</v>
      </c>
      <c r="AD325" s="11" t="e">
        <f>SUM($S$31:S325,$R$31:R325,$T$31:T325)/$V$31</f>
        <v>#VALUE!</v>
      </c>
      <c r="AE325" s="11" t="e">
        <f>SUM($M$31:M325)/$V$31</f>
        <v>#VALUE!</v>
      </c>
      <c r="AF325" s="11" t="e">
        <f ca="1">SUM(SUM($M$31:M325),-SUM($T$31:T325))/$V$31</f>
        <v>#VALUE!</v>
      </c>
      <c r="AG325">
        <f t="shared" si="102"/>
        <v>86730</v>
      </c>
    </row>
    <row r="326" spans="2:33" x14ac:dyDescent="0.15">
      <c r="B326" s="1">
        <f t="shared" si="116"/>
        <v>295</v>
      </c>
      <c r="C326" s="1">
        <f t="shared" si="103"/>
        <v>295</v>
      </c>
      <c r="D326" s="25">
        <v>3.5286256323196499E-2</v>
      </c>
      <c r="E326" s="2">
        <f t="shared" si="104"/>
        <v>28242.102573502314</v>
      </c>
      <c r="F326" s="3">
        <f t="shared" si="117"/>
        <v>0.04</v>
      </c>
      <c r="G326" s="2">
        <f t="shared" si="118"/>
        <v>477.4153</v>
      </c>
      <c r="H326" s="2">
        <f t="shared" si="119"/>
        <v>94.140341911674383</v>
      </c>
      <c r="I326" s="2">
        <f t="shared" si="120"/>
        <v>383.2749580883256</v>
      </c>
      <c r="J326" s="2">
        <f t="shared" si="105"/>
        <v>27858.827615413989</v>
      </c>
      <c r="K326" s="2" t="e">
        <f t="shared" si="124"/>
        <v>#VALUE!</v>
      </c>
      <c r="L326" s="9">
        <v>1.6821425527395739E-3</v>
      </c>
      <c r="M326" s="2" t="e">
        <f t="shared" si="106"/>
        <v>#VALUE!</v>
      </c>
      <c r="N326" s="3">
        <f t="shared" si="107"/>
        <v>0.04</v>
      </c>
      <c r="O326" s="2" t="e">
        <f t="shared" si="108"/>
        <v>#VALUE!</v>
      </c>
      <c r="P326" s="10">
        <f t="shared" si="100"/>
        <v>0.27858827615413989</v>
      </c>
      <c r="Q326" s="13"/>
      <c r="R326" s="2" t="e">
        <f t="shared" si="121"/>
        <v>#VALUE!</v>
      </c>
      <c r="S326" s="2" t="e">
        <f t="shared" si="122"/>
        <v>#VALUE!</v>
      </c>
      <c r="T326" s="2" t="e">
        <f t="shared" ca="1" si="109"/>
        <v>#VALUE!</v>
      </c>
      <c r="U326" s="2" t="e">
        <f t="shared" si="123"/>
        <v>#VALUE!</v>
      </c>
      <c r="V326" s="2" t="e">
        <f t="shared" si="110"/>
        <v>#VALUE!</v>
      </c>
      <c r="W326" s="2">
        <f t="shared" si="111"/>
        <v>477.4153</v>
      </c>
      <c r="X326" s="2" t="e">
        <f t="shared" ca="1" si="112"/>
        <v>#VALUE!</v>
      </c>
      <c r="Y326" s="2" t="e">
        <f t="shared" ca="1" si="113"/>
        <v>#VALUE!</v>
      </c>
      <c r="Z326" s="10">
        <f t="shared" si="114"/>
        <v>0.37467433246599041</v>
      </c>
      <c r="AA326" s="10" t="e">
        <f t="shared" ca="1" si="101"/>
        <v>#VALUE!</v>
      </c>
      <c r="AB326" s="11" t="e">
        <f t="shared" si="115"/>
        <v>#VALUE!</v>
      </c>
      <c r="AC326" s="11" t="e">
        <f>SUM($S$31:S326)/$V$31</f>
        <v>#VALUE!</v>
      </c>
      <c r="AD326" s="11" t="e">
        <f>SUM($S$31:S326,$R$31:R326,$T$31:T326)/$V$31</f>
        <v>#VALUE!</v>
      </c>
      <c r="AE326" s="11" t="e">
        <f>SUM($M$31:M326)/$V$31</f>
        <v>#VALUE!</v>
      </c>
      <c r="AF326" s="11" t="e">
        <f ca="1">SUM(SUM($M$31:M326),-SUM($T$31:T326))/$V$31</f>
        <v>#VALUE!</v>
      </c>
      <c r="AG326">
        <f t="shared" si="102"/>
        <v>87320</v>
      </c>
    </row>
    <row r="327" spans="2:33" x14ac:dyDescent="0.15">
      <c r="B327" s="1">
        <f t="shared" si="116"/>
        <v>296</v>
      </c>
      <c r="C327" s="1">
        <f t="shared" si="103"/>
        <v>296</v>
      </c>
      <c r="D327" s="25">
        <v>3.5284614158680901E-2</v>
      </c>
      <c r="E327" s="2">
        <f t="shared" si="104"/>
        <v>27858.827615413989</v>
      </c>
      <c r="F327" s="3">
        <f t="shared" si="117"/>
        <v>0.04</v>
      </c>
      <c r="G327" s="2">
        <f t="shared" si="118"/>
        <v>477.4153</v>
      </c>
      <c r="H327" s="2">
        <f t="shared" si="119"/>
        <v>92.862758718046635</v>
      </c>
      <c r="I327" s="2">
        <f t="shared" si="120"/>
        <v>384.55254128195338</v>
      </c>
      <c r="J327" s="2">
        <f t="shared" si="105"/>
        <v>27474.275074132034</v>
      </c>
      <c r="K327" s="2" t="e">
        <f t="shared" si="124"/>
        <v>#VALUE!</v>
      </c>
      <c r="L327" s="9">
        <v>1.6821425527395739E-3</v>
      </c>
      <c r="M327" s="2" t="e">
        <f t="shared" si="106"/>
        <v>#VALUE!</v>
      </c>
      <c r="N327" s="3">
        <f t="shared" si="107"/>
        <v>0.04</v>
      </c>
      <c r="O327" s="2" t="e">
        <f t="shared" si="108"/>
        <v>#VALUE!</v>
      </c>
      <c r="P327" s="10">
        <f t="shared" si="100"/>
        <v>0.27474275074132032</v>
      </c>
      <c r="Q327" s="13"/>
      <c r="R327" s="2" t="e">
        <f t="shared" si="121"/>
        <v>#VALUE!</v>
      </c>
      <c r="S327" s="2" t="e">
        <f t="shared" si="122"/>
        <v>#VALUE!</v>
      </c>
      <c r="T327" s="2" t="e">
        <f t="shared" ca="1" si="109"/>
        <v>#VALUE!</v>
      </c>
      <c r="U327" s="2" t="e">
        <f t="shared" si="123"/>
        <v>#VALUE!</v>
      </c>
      <c r="V327" s="2" t="e">
        <f t="shared" si="110"/>
        <v>#VALUE!</v>
      </c>
      <c r="W327" s="2">
        <f t="shared" si="111"/>
        <v>477.4153</v>
      </c>
      <c r="X327" s="2" t="e">
        <f t="shared" ca="1" si="112"/>
        <v>#VALUE!</v>
      </c>
      <c r="Y327" s="2" t="e">
        <f t="shared" ca="1" si="113"/>
        <v>#VALUE!</v>
      </c>
      <c r="Z327" s="10">
        <f t="shared" si="114"/>
        <v>0.37342956724216947</v>
      </c>
      <c r="AA327" s="10" t="e">
        <f t="shared" ca="1" si="101"/>
        <v>#VALUE!</v>
      </c>
      <c r="AB327" s="11" t="e">
        <f t="shared" si="115"/>
        <v>#VALUE!</v>
      </c>
      <c r="AC327" s="11" t="e">
        <f>SUM($S$31:S327)/$V$31</f>
        <v>#VALUE!</v>
      </c>
      <c r="AD327" s="11" t="e">
        <f>SUM($S$31:S327,$R$31:R327,$T$31:T327)/$V$31</f>
        <v>#VALUE!</v>
      </c>
      <c r="AE327" s="11" t="e">
        <f>SUM($M$31:M327)/$V$31</f>
        <v>#VALUE!</v>
      </c>
      <c r="AF327" s="11" t="e">
        <f ca="1">SUM(SUM($M$31:M327),-SUM($T$31:T327))/$V$31</f>
        <v>#VALUE!</v>
      </c>
      <c r="AG327">
        <f t="shared" si="102"/>
        <v>87912</v>
      </c>
    </row>
    <row r="328" spans="2:33" x14ac:dyDescent="0.15">
      <c r="B328" s="1">
        <f t="shared" si="116"/>
        <v>297</v>
      </c>
      <c r="C328" s="1">
        <f t="shared" si="103"/>
        <v>297</v>
      </c>
      <c r="D328" s="25">
        <v>3.52868123003569E-2</v>
      </c>
      <c r="E328" s="2">
        <f t="shared" si="104"/>
        <v>27474.275074132034</v>
      </c>
      <c r="F328" s="3">
        <f t="shared" si="117"/>
        <v>0.04</v>
      </c>
      <c r="G328" s="2">
        <f t="shared" si="118"/>
        <v>477.4153</v>
      </c>
      <c r="H328" s="2">
        <f t="shared" si="119"/>
        <v>91.58091691377345</v>
      </c>
      <c r="I328" s="2">
        <f t="shared" si="120"/>
        <v>385.83438308622658</v>
      </c>
      <c r="J328" s="2">
        <f t="shared" si="105"/>
        <v>27088.440691045809</v>
      </c>
      <c r="K328" s="2" t="e">
        <f t="shared" si="124"/>
        <v>#VALUE!</v>
      </c>
      <c r="L328" s="9">
        <v>1.6821425527395739E-3</v>
      </c>
      <c r="M328" s="2" t="e">
        <f t="shared" si="106"/>
        <v>#VALUE!</v>
      </c>
      <c r="N328" s="3">
        <f t="shared" si="107"/>
        <v>0.04</v>
      </c>
      <c r="O328" s="2" t="e">
        <f t="shared" si="108"/>
        <v>#VALUE!</v>
      </c>
      <c r="P328" s="10">
        <f t="shared" si="100"/>
        <v>0.27088440691045812</v>
      </c>
      <c r="Q328" s="13"/>
      <c r="R328" s="2" t="e">
        <f t="shared" si="121"/>
        <v>#VALUE!</v>
      </c>
      <c r="S328" s="2" t="e">
        <f t="shared" si="122"/>
        <v>#VALUE!</v>
      </c>
      <c r="T328" s="2" t="e">
        <f t="shared" ca="1" si="109"/>
        <v>#VALUE!</v>
      </c>
      <c r="U328" s="2" t="e">
        <f t="shared" si="123"/>
        <v>#VALUE!</v>
      </c>
      <c r="V328" s="2" t="e">
        <f t="shared" si="110"/>
        <v>#VALUE!</v>
      </c>
      <c r="W328" s="2">
        <f t="shared" si="111"/>
        <v>477.4153</v>
      </c>
      <c r="X328" s="2" t="e">
        <f t="shared" ca="1" si="112"/>
        <v>#VALUE!</v>
      </c>
      <c r="Y328" s="2" t="e">
        <f t="shared" ca="1" si="113"/>
        <v>#VALUE!</v>
      </c>
      <c r="Z328" s="10">
        <f t="shared" si="114"/>
        <v>0.37218893745098469</v>
      </c>
      <c r="AA328" s="10" t="e">
        <f t="shared" ca="1" si="101"/>
        <v>#VALUE!</v>
      </c>
      <c r="AB328" s="11" t="e">
        <f t="shared" si="115"/>
        <v>#VALUE!</v>
      </c>
      <c r="AC328" s="11" t="e">
        <f>SUM($S$31:S328)/$V$31</f>
        <v>#VALUE!</v>
      </c>
      <c r="AD328" s="11" t="e">
        <f>SUM($S$31:S328,$R$31:R328,$T$31:T328)/$V$31</f>
        <v>#VALUE!</v>
      </c>
      <c r="AE328" s="11" t="e">
        <f>SUM($M$31:M328)/$V$31</f>
        <v>#VALUE!</v>
      </c>
      <c r="AF328" s="11" t="e">
        <f ca="1">SUM(SUM($M$31:M328),-SUM($T$31:T328))/$V$31</f>
        <v>#VALUE!</v>
      </c>
      <c r="AG328">
        <f t="shared" si="102"/>
        <v>88506</v>
      </c>
    </row>
    <row r="329" spans="2:33" x14ac:dyDescent="0.15">
      <c r="B329" s="1">
        <f t="shared" si="116"/>
        <v>298</v>
      </c>
      <c r="C329" s="1">
        <f t="shared" si="103"/>
        <v>298</v>
      </c>
      <c r="D329" s="25">
        <v>3.5285855643631903E-2</v>
      </c>
      <c r="E329" s="2">
        <f t="shared" si="104"/>
        <v>27088.440691045809</v>
      </c>
      <c r="F329" s="3">
        <f t="shared" si="117"/>
        <v>0.04</v>
      </c>
      <c r="G329" s="2">
        <f t="shared" si="118"/>
        <v>477.4153</v>
      </c>
      <c r="H329" s="2">
        <f t="shared" si="119"/>
        <v>90.294802303486037</v>
      </c>
      <c r="I329" s="2">
        <f t="shared" si="120"/>
        <v>387.12049769651395</v>
      </c>
      <c r="J329" s="2">
        <f t="shared" si="105"/>
        <v>26701.320193349296</v>
      </c>
      <c r="K329" s="2" t="e">
        <f t="shared" si="124"/>
        <v>#VALUE!</v>
      </c>
      <c r="L329" s="9">
        <v>1.6821425527395739E-3</v>
      </c>
      <c r="M329" s="2" t="e">
        <f t="shared" si="106"/>
        <v>#VALUE!</v>
      </c>
      <c r="N329" s="3">
        <f t="shared" si="107"/>
        <v>0.04</v>
      </c>
      <c r="O329" s="2" t="e">
        <f t="shared" si="108"/>
        <v>#VALUE!</v>
      </c>
      <c r="P329" s="10">
        <f t="shared" si="100"/>
        <v>0.26701320193349298</v>
      </c>
      <c r="Q329" s="13"/>
      <c r="R329" s="2" t="e">
        <f t="shared" si="121"/>
        <v>#VALUE!</v>
      </c>
      <c r="S329" s="2" t="e">
        <f t="shared" si="122"/>
        <v>#VALUE!</v>
      </c>
      <c r="T329" s="2" t="e">
        <f t="shared" ca="1" si="109"/>
        <v>#VALUE!</v>
      </c>
      <c r="U329" s="2" t="e">
        <f t="shared" si="123"/>
        <v>#VALUE!</v>
      </c>
      <c r="V329" s="2" t="e">
        <f t="shared" si="110"/>
        <v>#VALUE!</v>
      </c>
      <c r="W329" s="2">
        <f t="shared" si="111"/>
        <v>477.4153</v>
      </c>
      <c r="X329" s="2" t="e">
        <f t="shared" ca="1" si="112"/>
        <v>#VALUE!</v>
      </c>
      <c r="Y329" s="2" t="e">
        <f t="shared" ca="1" si="113"/>
        <v>#VALUE!</v>
      </c>
      <c r="Z329" s="10">
        <f t="shared" si="114"/>
        <v>0.37095242935345718</v>
      </c>
      <c r="AA329" s="10" t="e">
        <f t="shared" ca="1" si="101"/>
        <v>#VALUE!</v>
      </c>
      <c r="AB329" s="11" t="e">
        <f t="shared" si="115"/>
        <v>#VALUE!</v>
      </c>
      <c r="AC329" s="11" t="e">
        <f>SUM($S$31:S329)/$V$31</f>
        <v>#VALUE!</v>
      </c>
      <c r="AD329" s="11" t="e">
        <f>SUM($S$31:S329,$R$31:R329,$T$31:T329)/$V$31</f>
        <v>#VALUE!</v>
      </c>
      <c r="AE329" s="11" t="e">
        <f>SUM($M$31:M329)/$V$31</f>
        <v>#VALUE!</v>
      </c>
      <c r="AF329" s="11" t="e">
        <f ca="1">SUM(SUM($M$31:M329),-SUM($T$31:T329))/$V$31</f>
        <v>#VALUE!</v>
      </c>
      <c r="AG329">
        <f t="shared" si="102"/>
        <v>89102</v>
      </c>
    </row>
    <row r="330" spans="2:33" x14ac:dyDescent="0.15">
      <c r="B330" s="1">
        <f t="shared" si="116"/>
        <v>299</v>
      </c>
      <c r="C330" s="1">
        <f t="shared" si="103"/>
        <v>299</v>
      </c>
      <c r="D330" s="25">
        <v>3.52887395376488E-2</v>
      </c>
      <c r="E330" s="2">
        <f t="shared" si="104"/>
        <v>26701.320193349296</v>
      </c>
      <c r="F330" s="3">
        <f t="shared" si="117"/>
        <v>0.04</v>
      </c>
      <c r="G330" s="2">
        <f t="shared" si="118"/>
        <v>477.4153</v>
      </c>
      <c r="H330" s="2">
        <f t="shared" si="119"/>
        <v>89.004400644497665</v>
      </c>
      <c r="I330" s="2">
        <f t="shared" si="120"/>
        <v>388.41089935550235</v>
      </c>
      <c r="J330" s="2">
        <f t="shared" si="105"/>
        <v>26312.909293993795</v>
      </c>
      <c r="K330" s="2" t="e">
        <f t="shared" si="124"/>
        <v>#VALUE!</v>
      </c>
      <c r="L330" s="9">
        <v>1.6821425527395739E-3</v>
      </c>
      <c r="M330" s="2" t="e">
        <f t="shared" si="106"/>
        <v>#VALUE!</v>
      </c>
      <c r="N330" s="3">
        <f t="shared" si="107"/>
        <v>0.04</v>
      </c>
      <c r="O330" s="2" t="e">
        <f t="shared" si="108"/>
        <v>#VALUE!</v>
      </c>
      <c r="P330" s="10">
        <f t="shared" si="100"/>
        <v>0.26312909293993797</v>
      </c>
      <c r="Q330" s="13"/>
      <c r="R330" s="2" t="e">
        <f t="shared" si="121"/>
        <v>#VALUE!</v>
      </c>
      <c r="S330" s="2" t="e">
        <f t="shared" si="122"/>
        <v>#VALUE!</v>
      </c>
      <c r="T330" s="2" t="e">
        <f t="shared" ca="1" si="109"/>
        <v>#VALUE!</v>
      </c>
      <c r="U330" s="2" t="e">
        <f t="shared" si="123"/>
        <v>#VALUE!</v>
      </c>
      <c r="V330" s="2" t="e">
        <f t="shared" si="110"/>
        <v>#VALUE!</v>
      </c>
      <c r="W330" s="2">
        <f t="shared" si="111"/>
        <v>477.4153</v>
      </c>
      <c r="X330" s="2" t="e">
        <f t="shared" ca="1" si="112"/>
        <v>#VALUE!</v>
      </c>
      <c r="Y330" s="2" t="e">
        <f t="shared" ca="1" si="113"/>
        <v>#VALUE!</v>
      </c>
      <c r="Z330" s="10">
        <f t="shared" si="114"/>
        <v>0.36972002925625275</v>
      </c>
      <c r="AA330" s="10" t="e">
        <f t="shared" ca="1" si="101"/>
        <v>#VALUE!</v>
      </c>
      <c r="AB330" s="11" t="e">
        <f t="shared" si="115"/>
        <v>#VALUE!</v>
      </c>
      <c r="AC330" s="11" t="e">
        <f>SUM($S$31:S330)/$V$31</f>
        <v>#VALUE!</v>
      </c>
      <c r="AD330" s="11" t="e">
        <f>SUM($S$31:S330,$R$31:R330,$T$31:T330)/$V$31</f>
        <v>#VALUE!</v>
      </c>
      <c r="AE330" s="11" t="e">
        <f>SUM($M$31:M330)/$V$31</f>
        <v>#VALUE!</v>
      </c>
      <c r="AF330" s="11" t="e">
        <f ca="1">SUM(SUM($M$31:M330),-SUM($T$31:T330))/$V$31</f>
        <v>#VALUE!</v>
      </c>
      <c r="AG330">
        <f t="shared" si="102"/>
        <v>89700</v>
      </c>
    </row>
    <row r="331" spans="2:33" x14ac:dyDescent="0.15">
      <c r="B331" s="1">
        <f t="shared" si="116"/>
        <v>300</v>
      </c>
      <c r="C331" s="1">
        <f t="shared" si="103"/>
        <v>300</v>
      </c>
      <c r="D331" s="25">
        <v>3.5290244420514698E-2</v>
      </c>
      <c r="E331" s="2">
        <f t="shared" si="104"/>
        <v>26312.909293993795</v>
      </c>
      <c r="F331" s="3">
        <f t="shared" si="117"/>
        <v>0.04</v>
      </c>
      <c r="G331" s="2">
        <f t="shared" si="118"/>
        <v>477.4153</v>
      </c>
      <c r="H331" s="2">
        <f t="shared" si="119"/>
        <v>87.709697646645992</v>
      </c>
      <c r="I331" s="2">
        <f t="shared" si="120"/>
        <v>389.70560235335404</v>
      </c>
      <c r="J331" s="2">
        <f t="shared" si="105"/>
        <v>25923.20369164044</v>
      </c>
      <c r="K331" s="2" t="e">
        <f t="shared" si="124"/>
        <v>#VALUE!</v>
      </c>
      <c r="L331" s="9">
        <v>1.6821425527395739E-3</v>
      </c>
      <c r="M331" s="2" t="e">
        <f t="shared" si="106"/>
        <v>#VALUE!</v>
      </c>
      <c r="N331" s="3">
        <f t="shared" si="107"/>
        <v>0.04</v>
      </c>
      <c r="O331" s="2" t="e">
        <f t="shared" si="108"/>
        <v>#VALUE!</v>
      </c>
      <c r="P331" s="10">
        <f t="shared" si="100"/>
        <v>0.2592320369164044</v>
      </c>
      <c r="Q331" s="13"/>
      <c r="R331" s="2" t="e">
        <f t="shared" si="121"/>
        <v>#VALUE!</v>
      </c>
      <c r="S331" s="2" t="e">
        <f t="shared" si="122"/>
        <v>#VALUE!</v>
      </c>
      <c r="T331" s="2" t="e">
        <f t="shared" ca="1" si="109"/>
        <v>#VALUE!</v>
      </c>
      <c r="U331" s="2" t="e">
        <f t="shared" si="123"/>
        <v>#VALUE!</v>
      </c>
      <c r="V331" s="2" t="e">
        <f t="shared" si="110"/>
        <v>#VALUE!</v>
      </c>
      <c r="W331" s="2">
        <f t="shared" si="111"/>
        <v>477.4153</v>
      </c>
      <c r="X331" s="2" t="e">
        <f t="shared" ca="1" si="112"/>
        <v>#VALUE!</v>
      </c>
      <c r="Y331" s="2" t="e">
        <f t="shared" ca="1" si="113"/>
        <v>#VALUE!</v>
      </c>
      <c r="Z331" s="10">
        <f t="shared" si="114"/>
        <v>0.36849172351152965</v>
      </c>
      <c r="AA331" s="10" t="e">
        <f t="shared" ca="1" si="101"/>
        <v>#VALUE!</v>
      </c>
      <c r="AB331" s="11" t="e">
        <f t="shared" si="115"/>
        <v>#VALUE!</v>
      </c>
      <c r="AC331" s="11" t="e">
        <f>SUM($S$31:S331)/$V$31</f>
        <v>#VALUE!</v>
      </c>
      <c r="AD331" s="11" t="e">
        <f>SUM($S$31:S331,$R$31:R331,$T$31:T331)/$V$31</f>
        <v>#VALUE!</v>
      </c>
      <c r="AE331" s="11" t="e">
        <f>SUM($M$31:M331)/$V$31</f>
        <v>#VALUE!</v>
      </c>
      <c r="AF331" s="11" t="e">
        <f ca="1">SUM(SUM($M$31:M331),-SUM($T$31:T331))/$V$31</f>
        <v>#VALUE!</v>
      </c>
      <c r="AG331">
        <f t="shared" si="102"/>
        <v>90300</v>
      </c>
    </row>
    <row r="332" spans="2:33" x14ac:dyDescent="0.15">
      <c r="B332" s="1">
        <f t="shared" si="116"/>
        <v>301</v>
      </c>
      <c r="C332" s="1">
        <f t="shared" si="103"/>
        <v>301</v>
      </c>
      <c r="D332" s="25">
        <v>3.5286602515951802E-2</v>
      </c>
      <c r="E332" s="2">
        <f t="shared" si="104"/>
        <v>25923.20369164044</v>
      </c>
      <c r="F332" s="3">
        <f t="shared" si="117"/>
        <v>0.04</v>
      </c>
      <c r="G332" s="2">
        <f t="shared" si="118"/>
        <v>477.4153</v>
      </c>
      <c r="H332" s="2">
        <f t="shared" si="119"/>
        <v>86.410678972134804</v>
      </c>
      <c r="I332" s="2">
        <f t="shared" si="120"/>
        <v>391.0046210278652</v>
      </c>
      <c r="J332" s="2">
        <f t="shared" si="105"/>
        <v>25532.199070612573</v>
      </c>
      <c r="K332" s="2" t="e">
        <f t="shared" si="124"/>
        <v>#VALUE!</v>
      </c>
      <c r="L332" s="9">
        <v>1.6821425527395739E-3</v>
      </c>
      <c r="M332" s="2" t="e">
        <f t="shared" si="106"/>
        <v>#VALUE!</v>
      </c>
      <c r="N332" s="3">
        <f t="shared" si="107"/>
        <v>0.04</v>
      </c>
      <c r="O332" s="2" t="e">
        <f t="shared" si="108"/>
        <v>#VALUE!</v>
      </c>
      <c r="P332" s="10">
        <f t="shared" si="100"/>
        <v>0.25532199070612571</v>
      </c>
      <c r="Q332" s="13"/>
      <c r="R332" s="2" t="e">
        <f t="shared" si="121"/>
        <v>#VALUE!</v>
      </c>
      <c r="S332" s="2" t="e">
        <f t="shared" si="122"/>
        <v>#VALUE!</v>
      </c>
      <c r="T332" s="2" t="e">
        <f t="shared" ca="1" si="109"/>
        <v>#VALUE!</v>
      </c>
      <c r="U332" s="2" t="e">
        <f t="shared" si="123"/>
        <v>#VALUE!</v>
      </c>
      <c r="V332" s="2" t="e">
        <f t="shared" si="110"/>
        <v>#VALUE!</v>
      </c>
      <c r="W332" s="2">
        <f t="shared" si="111"/>
        <v>477.4153</v>
      </c>
      <c r="X332" s="2" t="e">
        <f t="shared" ca="1" si="112"/>
        <v>#VALUE!</v>
      </c>
      <c r="Y332" s="2" t="e">
        <f t="shared" ca="1" si="113"/>
        <v>#VALUE!</v>
      </c>
      <c r="Z332" s="10">
        <f t="shared" si="114"/>
        <v>0.36726749851678792</v>
      </c>
      <c r="AA332" s="10" t="e">
        <f t="shared" ca="1" si="101"/>
        <v>#VALUE!</v>
      </c>
      <c r="AB332" s="11" t="e">
        <f t="shared" si="115"/>
        <v>#VALUE!</v>
      </c>
      <c r="AC332" s="11" t="e">
        <f>SUM($S$31:S332)/$V$31</f>
        <v>#VALUE!</v>
      </c>
      <c r="AD332" s="11" t="e">
        <f>SUM($S$31:S332,$R$31:R332,$T$31:T332)/$V$31</f>
        <v>#VALUE!</v>
      </c>
      <c r="AE332" s="11" t="e">
        <f>SUM($M$31:M332)/$V$31</f>
        <v>#VALUE!</v>
      </c>
      <c r="AF332" s="11" t="e">
        <f ca="1">SUM(SUM($M$31:M332),-SUM($T$31:T332))/$V$31</f>
        <v>#VALUE!</v>
      </c>
      <c r="AG332">
        <f t="shared" si="102"/>
        <v>90902</v>
      </c>
    </row>
    <row r="333" spans="2:33" x14ac:dyDescent="0.15">
      <c r="B333" s="1">
        <f t="shared" si="116"/>
        <v>302</v>
      </c>
      <c r="C333" s="1">
        <f t="shared" si="103"/>
        <v>302</v>
      </c>
      <c r="D333" s="25">
        <v>3.5293046560735002E-2</v>
      </c>
      <c r="E333" s="2">
        <f t="shared" si="104"/>
        <v>25532.199070612573</v>
      </c>
      <c r="F333" s="3">
        <f t="shared" si="117"/>
        <v>0.04</v>
      </c>
      <c r="G333" s="2">
        <f t="shared" si="118"/>
        <v>477.4153</v>
      </c>
      <c r="H333" s="2">
        <f t="shared" si="119"/>
        <v>85.107330235375244</v>
      </c>
      <c r="I333" s="2">
        <f t="shared" si="120"/>
        <v>392.30796976462477</v>
      </c>
      <c r="J333" s="2">
        <f t="shared" si="105"/>
        <v>25139.891100847948</v>
      </c>
      <c r="K333" s="2" t="e">
        <f t="shared" si="124"/>
        <v>#VALUE!</v>
      </c>
      <c r="L333" s="9">
        <v>1.6821425527395739E-3</v>
      </c>
      <c r="M333" s="2" t="e">
        <f t="shared" si="106"/>
        <v>#VALUE!</v>
      </c>
      <c r="N333" s="3">
        <f t="shared" si="107"/>
        <v>0.04</v>
      </c>
      <c r="O333" s="2" t="e">
        <f t="shared" si="108"/>
        <v>#VALUE!</v>
      </c>
      <c r="P333" s="10">
        <f t="shared" si="100"/>
        <v>0.2513989110084795</v>
      </c>
      <c r="Q333" s="13"/>
      <c r="R333" s="2" t="e">
        <f t="shared" si="121"/>
        <v>#VALUE!</v>
      </c>
      <c r="S333" s="2" t="e">
        <f t="shared" si="122"/>
        <v>#VALUE!</v>
      </c>
      <c r="T333" s="2" t="e">
        <f t="shared" ca="1" si="109"/>
        <v>#VALUE!</v>
      </c>
      <c r="U333" s="2" t="e">
        <f t="shared" si="123"/>
        <v>#VALUE!</v>
      </c>
      <c r="V333" s="2" t="e">
        <f t="shared" si="110"/>
        <v>#VALUE!</v>
      </c>
      <c r="W333" s="2">
        <f t="shared" si="111"/>
        <v>477.4153</v>
      </c>
      <c r="X333" s="2" t="e">
        <f t="shared" ca="1" si="112"/>
        <v>#VALUE!</v>
      </c>
      <c r="Y333" s="2" t="e">
        <f t="shared" ca="1" si="113"/>
        <v>#VALUE!</v>
      </c>
      <c r="Z333" s="10">
        <f t="shared" si="114"/>
        <v>0.36604734071471867</v>
      </c>
      <c r="AA333" s="10" t="e">
        <f t="shared" ca="1" si="101"/>
        <v>#VALUE!</v>
      </c>
      <c r="AB333" s="11" t="e">
        <f t="shared" si="115"/>
        <v>#VALUE!</v>
      </c>
      <c r="AC333" s="11" t="e">
        <f>SUM($S$31:S333)/$V$31</f>
        <v>#VALUE!</v>
      </c>
      <c r="AD333" s="11" t="e">
        <f>SUM($S$31:S333,$R$31:R333,$T$31:T333)/$V$31</f>
        <v>#VALUE!</v>
      </c>
      <c r="AE333" s="11" t="e">
        <f>SUM($M$31:M333)/$V$31</f>
        <v>#VALUE!</v>
      </c>
      <c r="AF333" s="11" t="e">
        <f ca="1">SUM(SUM($M$31:M333),-SUM($T$31:T333))/$V$31</f>
        <v>#VALUE!</v>
      </c>
      <c r="AG333">
        <f t="shared" si="102"/>
        <v>91506</v>
      </c>
    </row>
    <row r="334" spans="2:33" x14ac:dyDescent="0.15">
      <c r="B334" s="1">
        <f t="shared" si="116"/>
        <v>303</v>
      </c>
      <c r="C334" s="1">
        <f t="shared" si="103"/>
        <v>303</v>
      </c>
      <c r="D334" s="25">
        <v>3.5291995784204201E-2</v>
      </c>
      <c r="E334" s="2">
        <f t="shared" si="104"/>
        <v>25139.891100847948</v>
      </c>
      <c r="F334" s="3">
        <f t="shared" si="117"/>
        <v>0.04</v>
      </c>
      <c r="G334" s="2">
        <f t="shared" si="118"/>
        <v>477.4153</v>
      </c>
      <c r="H334" s="2">
        <f t="shared" si="119"/>
        <v>83.799637002826501</v>
      </c>
      <c r="I334" s="2">
        <f t="shared" si="120"/>
        <v>393.6156629971735</v>
      </c>
      <c r="J334" s="2">
        <f t="shared" si="105"/>
        <v>24746.275437850774</v>
      </c>
      <c r="K334" s="2" t="e">
        <f t="shared" si="124"/>
        <v>#VALUE!</v>
      </c>
      <c r="L334" s="9">
        <v>1.6821425527395739E-3</v>
      </c>
      <c r="M334" s="2" t="e">
        <f t="shared" si="106"/>
        <v>#VALUE!</v>
      </c>
      <c r="N334" s="3">
        <f t="shared" si="107"/>
        <v>0.04</v>
      </c>
      <c r="O334" s="2" t="e">
        <f t="shared" si="108"/>
        <v>#VALUE!</v>
      </c>
      <c r="P334" s="10">
        <f t="shared" si="100"/>
        <v>0.24746275437850773</v>
      </c>
      <c r="Q334" s="13"/>
      <c r="R334" s="2" t="e">
        <f t="shared" si="121"/>
        <v>#VALUE!</v>
      </c>
      <c r="S334" s="2" t="e">
        <f t="shared" si="122"/>
        <v>#VALUE!</v>
      </c>
      <c r="T334" s="2" t="e">
        <f t="shared" ca="1" si="109"/>
        <v>#VALUE!</v>
      </c>
      <c r="U334" s="2" t="e">
        <f t="shared" si="123"/>
        <v>#VALUE!</v>
      </c>
      <c r="V334" s="2" t="e">
        <f t="shared" si="110"/>
        <v>#VALUE!</v>
      </c>
      <c r="W334" s="2">
        <f t="shared" si="111"/>
        <v>477.4153</v>
      </c>
      <c r="X334" s="2" t="e">
        <f t="shared" ca="1" si="112"/>
        <v>#VALUE!</v>
      </c>
      <c r="Y334" s="2" t="e">
        <f t="shared" ca="1" si="113"/>
        <v>#VALUE!</v>
      </c>
      <c r="Z334" s="10">
        <f t="shared" si="114"/>
        <v>0.36483123659305405</v>
      </c>
      <c r="AA334" s="10" t="e">
        <f t="shared" ca="1" si="101"/>
        <v>#VALUE!</v>
      </c>
      <c r="AB334" s="11" t="e">
        <f t="shared" si="115"/>
        <v>#VALUE!</v>
      </c>
      <c r="AC334" s="11" t="e">
        <f>SUM($S$31:S334)/$V$31</f>
        <v>#VALUE!</v>
      </c>
      <c r="AD334" s="11" t="e">
        <f>SUM($S$31:S334,$R$31:R334,$T$31:T334)/$V$31</f>
        <v>#VALUE!</v>
      </c>
      <c r="AE334" s="11" t="e">
        <f>SUM($M$31:M334)/$V$31</f>
        <v>#VALUE!</v>
      </c>
      <c r="AF334" s="11" t="e">
        <f ca="1">SUM(SUM($M$31:M334),-SUM($T$31:T334))/$V$31</f>
        <v>#VALUE!</v>
      </c>
      <c r="AG334">
        <f t="shared" si="102"/>
        <v>92112</v>
      </c>
    </row>
    <row r="335" spans="2:33" x14ac:dyDescent="0.15">
      <c r="B335" s="1">
        <f t="shared" si="116"/>
        <v>304</v>
      </c>
      <c r="C335" s="1">
        <f t="shared" si="103"/>
        <v>304</v>
      </c>
      <c r="D335" s="25">
        <v>3.5293881562507796E-2</v>
      </c>
      <c r="E335" s="2">
        <f t="shared" si="104"/>
        <v>24746.275437850774</v>
      </c>
      <c r="F335" s="3">
        <f t="shared" si="117"/>
        <v>0.04</v>
      </c>
      <c r="G335" s="2">
        <f t="shared" si="118"/>
        <v>477.41520000000003</v>
      </c>
      <c r="H335" s="2">
        <f t="shared" si="119"/>
        <v>82.487584792835918</v>
      </c>
      <c r="I335" s="2">
        <f t="shared" si="120"/>
        <v>394.92761520716408</v>
      </c>
      <c r="J335" s="2">
        <f t="shared" si="105"/>
        <v>24351.347822643609</v>
      </c>
      <c r="K335" s="2" t="e">
        <f t="shared" si="124"/>
        <v>#VALUE!</v>
      </c>
      <c r="L335" s="9">
        <v>1.6821425527395739E-3</v>
      </c>
      <c r="M335" s="2" t="e">
        <f t="shared" si="106"/>
        <v>#VALUE!</v>
      </c>
      <c r="N335" s="3">
        <f t="shared" si="107"/>
        <v>0.04</v>
      </c>
      <c r="O335" s="2" t="e">
        <f t="shared" si="108"/>
        <v>#VALUE!</v>
      </c>
      <c r="P335" s="10">
        <f t="shared" si="100"/>
        <v>0.2435134782264361</v>
      </c>
      <c r="Q335" s="13"/>
      <c r="R335" s="2" t="e">
        <f t="shared" si="121"/>
        <v>#VALUE!</v>
      </c>
      <c r="S335" s="2" t="e">
        <f t="shared" si="122"/>
        <v>#VALUE!</v>
      </c>
      <c r="T335" s="2" t="e">
        <f t="shared" ca="1" si="109"/>
        <v>#VALUE!</v>
      </c>
      <c r="U335" s="2" t="e">
        <f t="shared" si="123"/>
        <v>#VALUE!</v>
      </c>
      <c r="V335" s="2" t="e">
        <f t="shared" si="110"/>
        <v>#VALUE!</v>
      </c>
      <c r="W335" s="2">
        <f t="shared" si="111"/>
        <v>477.41520000000003</v>
      </c>
      <c r="X335" s="2" t="e">
        <f t="shared" ca="1" si="112"/>
        <v>#VALUE!</v>
      </c>
      <c r="Y335" s="2" t="e">
        <f t="shared" ca="1" si="113"/>
        <v>#VALUE!</v>
      </c>
      <c r="Z335" s="10">
        <f t="shared" si="114"/>
        <v>0.36361917268441724</v>
      </c>
      <c r="AA335" s="10" t="e">
        <f t="shared" ca="1" si="101"/>
        <v>#VALUE!</v>
      </c>
      <c r="AB335" s="11" t="e">
        <f t="shared" si="115"/>
        <v>#VALUE!</v>
      </c>
      <c r="AC335" s="11" t="e">
        <f>SUM($S$31:S335)/$V$31</f>
        <v>#VALUE!</v>
      </c>
      <c r="AD335" s="11" t="e">
        <f>SUM($S$31:S335,$R$31:R335,$T$31:T335)/$V$31</f>
        <v>#VALUE!</v>
      </c>
      <c r="AE335" s="11" t="e">
        <f>SUM($M$31:M335)/$V$31</f>
        <v>#VALUE!</v>
      </c>
      <c r="AF335" s="11" t="e">
        <f ca="1">SUM(SUM($M$31:M335),-SUM($T$31:T335))/$V$31</f>
        <v>#VALUE!</v>
      </c>
      <c r="AG335">
        <f t="shared" si="102"/>
        <v>92720</v>
      </c>
    </row>
    <row r="336" spans="2:33" x14ac:dyDescent="0.15">
      <c r="B336" s="1">
        <f t="shared" si="116"/>
        <v>305</v>
      </c>
      <c r="C336" s="1">
        <f t="shared" si="103"/>
        <v>305</v>
      </c>
      <c r="D336" s="25">
        <v>3.5291715872893301E-2</v>
      </c>
      <c r="E336" s="2">
        <f t="shared" si="104"/>
        <v>24351.347822643609</v>
      </c>
      <c r="F336" s="3">
        <f t="shared" si="117"/>
        <v>0.04</v>
      </c>
      <c r="G336" s="2">
        <f t="shared" si="118"/>
        <v>477.4153</v>
      </c>
      <c r="H336" s="2">
        <f t="shared" si="119"/>
        <v>81.171159408812031</v>
      </c>
      <c r="I336" s="2">
        <f t="shared" si="120"/>
        <v>396.24414059118794</v>
      </c>
      <c r="J336" s="2">
        <f t="shared" si="105"/>
        <v>23955.10368205242</v>
      </c>
      <c r="K336" s="2" t="e">
        <f t="shared" si="124"/>
        <v>#VALUE!</v>
      </c>
      <c r="L336" s="9">
        <v>1.6821425527395739E-3</v>
      </c>
      <c r="M336" s="2" t="e">
        <f t="shared" si="106"/>
        <v>#VALUE!</v>
      </c>
      <c r="N336" s="3">
        <f t="shared" si="107"/>
        <v>0.04</v>
      </c>
      <c r="O336" s="2" t="e">
        <f t="shared" si="108"/>
        <v>#VALUE!</v>
      </c>
      <c r="P336" s="10">
        <f t="shared" si="100"/>
        <v>0.2395510368205242</v>
      </c>
      <c r="Q336" s="13"/>
      <c r="R336" s="2" t="e">
        <f t="shared" si="121"/>
        <v>#VALUE!</v>
      </c>
      <c r="S336" s="2" t="e">
        <f t="shared" si="122"/>
        <v>#VALUE!</v>
      </c>
      <c r="T336" s="2" t="e">
        <f t="shared" ca="1" si="109"/>
        <v>#VALUE!</v>
      </c>
      <c r="U336" s="2" t="e">
        <f t="shared" si="123"/>
        <v>#VALUE!</v>
      </c>
      <c r="V336" s="2" t="e">
        <f t="shared" si="110"/>
        <v>#VALUE!</v>
      </c>
      <c r="W336" s="2">
        <f t="shared" si="111"/>
        <v>477.4153</v>
      </c>
      <c r="X336" s="2" t="e">
        <f t="shared" ca="1" si="112"/>
        <v>#VALUE!</v>
      </c>
      <c r="Y336" s="2" t="e">
        <f t="shared" ca="1" si="113"/>
        <v>#VALUE!</v>
      </c>
      <c r="Z336" s="10">
        <f t="shared" si="114"/>
        <v>0.36241113556617333</v>
      </c>
      <c r="AA336" s="10" t="e">
        <f t="shared" ca="1" si="101"/>
        <v>#VALUE!</v>
      </c>
      <c r="AB336" s="11" t="e">
        <f t="shared" si="115"/>
        <v>#VALUE!</v>
      </c>
      <c r="AC336" s="11" t="e">
        <f>SUM($S$31:S336)/$V$31</f>
        <v>#VALUE!</v>
      </c>
      <c r="AD336" s="11" t="e">
        <f>SUM($S$31:S336,$R$31:R336,$T$31:T336)/$V$31</f>
        <v>#VALUE!</v>
      </c>
      <c r="AE336" s="11" t="e">
        <f>SUM($M$31:M336)/$V$31</f>
        <v>#VALUE!</v>
      </c>
      <c r="AF336" s="11" t="e">
        <f ca="1">SUM(SUM($M$31:M336),-SUM($T$31:T336))/$V$31</f>
        <v>#VALUE!</v>
      </c>
      <c r="AG336">
        <f t="shared" si="102"/>
        <v>93330</v>
      </c>
    </row>
    <row r="337" spans="2:33" x14ac:dyDescent="0.15">
      <c r="B337" s="1">
        <f t="shared" si="116"/>
        <v>306</v>
      </c>
      <c r="C337" s="1">
        <f t="shared" si="103"/>
        <v>306</v>
      </c>
      <c r="D337" s="25">
        <v>3.5292486683029201E-2</v>
      </c>
      <c r="E337" s="2">
        <f t="shared" si="104"/>
        <v>23955.10368205242</v>
      </c>
      <c r="F337" s="3">
        <f t="shared" si="117"/>
        <v>0.04</v>
      </c>
      <c r="G337" s="2">
        <f t="shared" si="118"/>
        <v>477.41520000000003</v>
      </c>
      <c r="H337" s="2">
        <f t="shared" si="119"/>
        <v>79.850345606841401</v>
      </c>
      <c r="I337" s="2">
        <f t="shared" si="120"/>
        <v>397.56485439315861</v>
      </c>
      <c r="J337" s="2">
        <f t="shared" si="105"/>
        <v>23557.53882765926</v>
      </c>
      <c r="K337" s="2" t="e">
        <f t="shared" si="124"/>
        <v>#VALUE!</v>
      </c>
      <c r="L337" s="9">
        <v>1.6821425527395739E-3</v>
      </c>
      <c r="M337" s="2" t="e">
        <f t="shared" si="106"/>
        <v>#VALUE!</v>
      </c>
      <c r="N337" s="3">
        <f t="shared" si="107"/>
        <v>0.04</v>
      </c>
      <c r="O337" s="2" t="e">
        <f t="shared" si="108"/>
        <v>#VALUE!</v>
      </c>
      <c r="P337" s="10">
        <f t="shared" si="100"/>
        <v>0.23557538827659261</v>
      </c>
      <c r="Q337" s="13"/>
      <c r="R337" s="2" t="e">
        <f t="shared" si="121"/>
        <v>#VALUE!</v>
      </c>
      <c r="S337" s="2" t="e">
        <f t="shared" si="122"/>
        <v>#VALUE!</v>
      </c>
      <c r="T337" s="2" t="e">
        <f t="shared" ca="1" si="109"/>
        <v>#VALUE!</v>
      </c>
      <c r="U337" s="2" t="e">
        <f t="shared" si="123"/>
        <v>#VALUE!</v>
      </c>
      <c r="V337" s="2" t="e">
        <f t="shared" si="110"/>
        <v>#VALUE!</v>
      </c>
      <c r="W337" s="2">
        <f t="shared" si="111"/>
        <v>477.41520000000003</v>
      </c>
      <c r="X337" s="2" t="e">
        <f t="shared" ca="1" si="112"/>
        <v>#VALUE!</v>
      </c>
      <c r="Y337" s="2" t="e">
        <f t="shared" ca="1" si="113"/>
        <v>#VALUE!</v>
      </c>
      <c r="Z337" s="10">
        <f t="shared" si="114"/>
        <v>0.36120711186028148</v>
      </c>
      <c r="AA337" s="10" t="e">
        <f t="shared" ca="1" si="101"/>
        <v>#VALUE!</v>
      </c>
      <c r="AB337" s="11" t="e">
        <f t="shared" si="115"/>
        <v>#VALUE!</v>
      </c>
      <c r="AC337" s="11" t="e">
        <f>SUM($S$31:S337)/$V$31</f>
        <v>#VALUE!</v>
      </c>
      <c r="AD337" s="11" t="e">
        <f>SUM($S$31:S337,$R$31:R337,$T$31:T337)/$V$31</f>
        <v>#VALUE!</v>
      </c>
      <c r="AE337" s="11" t="e">
        <f>SUM($M$31:M337)/$V$31</f>
        <v>#VALUE!</v>
      </c>
      <c r="AF337" s="11" t="e">
        <f ca="1">SUM(SUM($M$31:M337),-SUM($T$31:T337))/$V$31</f>
        <v>#VALUE!</v>
      </c>
      <c r="AG337">
        <f t="shared" si="102"/>
        <v>93942</v>
      </c>
    </row>
    <row r="338" spans="2:33" x14ac:dyDescent="0.15">
      <c r="B338" s="1">
        <f t="shared" si="116"/>
        <v>307</v>
      </c>
      <c r="C338" s="1">
        <f t="shared" si="103"/>
        <v>307</v>
      </c>
      <c r="D338" s="25">
        <v>3.5290923251969003E-2</v>
      </c>
      <c r="E338" s="2">
        <f t="shared" si="104"/>
        <v>23557.53882765926</v>
      </c>
      <c r="F338" s="3">
        <f t="shared" si="117"/>
        <v>0.04</v>
      </c>
      <c r="G338" s="2">
        <f t="shared" si="118"/>
        <v>477.4153</v>
      </c>
      <c r="H338" s="2">
        <f t="shared" si="119"/>
        <v>78.525129425530878</v>
      </c>
      <c r="I338" s="2">
        <f t="shared" si="120"/>
        <v>398.89017057446915</v>
      </c>
      <c r="J338" s="2">
        <f t="shared" si="105"/>
        <v>23158.648657084792</v>
      </c>
      <c r="K338" s="2" t="e">
        <f t="shared" si="124"/>
        <v>#VALUE!</v>
      </c>
      <c r="L338" s="9">
        <v>1.6821425527395739E-3</v>
      </c>
      <c r="M338" s="2" t="e">
        <f t="shared" si="106"/>
        <v>#VALUE!</v>
      </c>
      <c r="N338" s="3">
        <f t="shared" si="107"/>
        <v>0.04</v>
      </c>
      <c r="O338" s="2" t="e">
        <f t="shared" si="108"/>
        <v>#VALUE!</v>
      </c>
      <c r="P338" s="10">
        <f t="shared" si="100"/>
        <v>0.23158648657084793</v>
      </c>
      <c r="Q338" s="13"/>
      <c r="R338" s="2" t="e">
        <f t="shared" si="121"/>
        <v>#VALUE!</v>
      </c>
      <c r="S338" s="2" t="e">
        <f t="shared" si="122"/>
        <v>#VALUE!</v>
      </c>
      <c r="T338" s="2" t="e">
        <f t="shared" ca="1" si="109"/>
        <v>#VALUE!</v>
      </c>
      <c r="U338" s="2" t="e">
        <f t="shared" si="123"/>
        <v>#VALUE!</v>
      </c>
      <c r="V338" s="2" t="e">
        <f t="shared" si="110"/>
        <v>#VALUE!</v>
      </c>
      <c r="W338" s="2">
        <f t="shared" si="111"/>
        <v>477.4153</v>
      </c>
      <c r="X338" s="2" t="e">
        <f t="shared" ca="1" si="112"/>
        <v>#VALUE!</v>
      </c>
      <c r="Y338" s="2" t="e">
        <f t="shared" ca="1" si="113"/>
        <v>#VALUE!</v>
      </c>
      <c r="Z338" s="10">
        <f t="shared" si="114"/>
        <v>0.36000708823314576</v>
      </c>
      <c r="AA338" s="10" t="e">
        <f t="shared" ca="1" si="101"/>
        <v>#VALUE!</v>
      </c>
      <c r="AB338" s="11" t="e">
        <f t="shared" si="115"/>
        <v>#VALUE!</v>
      </c>
      <c r="AC338" s="11" t="e">
        <f>SUM($S$31:S338)/$V$31</f>
        <v>#VALUE!</v>
      </c>
      <c r="AD338" s="11" t="e">
        <f>SUM($S$31:S338,$R$31:R338,$T$31:T338)/$V$31</f>
        <v>#VALUE!</v>
      </c>
      <c r="AE338" s="11" t="e">
        <f>SUM($M$31:M338)/$V$31</f>
        <v>#VALUE!</v>
      </c>
      <c r="AF338" s="11" t="e">
        <f ca="1">SUM(SUM($M$31:M338),-SUM($T$31:T338))/$V$31</f>
        <v>#VALUE!</v>
      </c>
      <c r="AG338">
        <f t="shared" si="102"/>
        <v>94556</v>
      </c>
    </row>
    <row r="339" spans="2:33" x14ac:dyDescent="0.15">
      <c r="B339" s="1">
        <f t="shared" si="116"/>
        <v>308</v>
      </c>
      <c r="C339" s="1">
        <f t="shared" si="103"/>
        <v>308</v>
      </c>
      <c r="D339" s="25">
        <v>3.5287076469979105E-2</v>
      </c>
      <c r="E339" s="2">
        <f t="shared" si="104"/>
        <v>23158.648657084792</v>
      </c>
      <c r="F339" s="3">
        <f t="shared" si="117"/>
        <v>0.04</v>
      </c>
      <c r="G339" s="2">
        <f t="shared" si="118"/>
        <v>477.41520000000003</v>
      </c>
      <c r="H339" s="2">
        <f t="shared" si="119"/>
        <v>77.195495523615975</v>
      </c>
      <c r="I339" s="2">
        <f t="shared" si="120"/>
        <v>400.21970447638404</v>
      </c>
      <c r="J339" s="2">
        <f t="shared" si="105"/>
        <v>22758.428952608407</v>
      </c>
      <c r="K339" s="2" t="e">
        <f t="shared" si="124"/>
        <v>#VALUE!</v>
      </c>
      <c r="L339" s="9">
        <v>1.6821425527395739E-3</v>
      </c>
      <c r="M339" s="2" t="e">
        <f t="shared" si="106"/>
        <v>#VALUE!</v>
      </c>
      <c r="N339" s="3">
        <f t="shared" si="107"/>
        <v>0.04</v>
      </c>
      <c r="O339" s="2" t="e">
        <f t="shared" si="108"/>
        <v>#VALUE!</v>
      </c>
      <c r="P339" s="10">
        <f t="shared" si="100"/>
        <v>0.22758428952608406</v>
      </c>
      <c r="Q339" s="13"/>
      <c r="R339" s="2" t="e">
        <f t="shared" si="121"/>
        <v>#VALUE!</v>
      </c>
      <c r="S339" s="2" t="e">
        <f t="shared" si="122"/>
        <v>#VALUE!</v>
      </c>
      <c r="T339" s="2" t="e">
        <f t="shared" ca="1" si="109"/>
        <v>#VALUE!</v>
      </c>
      <c r="U339" s="2" t="e">
        <f t="shared" si="123"/>
        <v>#VALUE!</v>
      </c>
      <c r="V339" s="2" t="e">
        <f t="shared" si="110"/>
        <v>#VALUE!</v>
      </c>
      <c r="W339" s="2">
        <f t="shared" si="111"/>
        <v>477.41520000000003</v>
      </c>
      <c r="X339" s="2" t="e">
        <f t="shared" ca="1" si="112"/>
        <v>#VALUE!</v>
      </c>
      <c r="Y339" s="2" t="e">
        <f t="shared" ca="1" si="113"/>
        <v>#VALUE!</v>
      </c>
      <c r="Z339" s="10">
        <f t="shared" si="114"/>
        <v>0.35881105139546787</v>
      </c>
      <c r="AA339" s="10" t="e">
        <f t="shared" ca="1" si="101"/>
        <v>#VALUE!</v>
      </c>
      <c r="AB339" s="11" t="e">
        <f t="shared" si="115"/>
        <v>#VALUE!</v>
      </c>
      <c r="AC339" s="11" t="e">
        <f>SUM($S$31:S339)/$V$31</f>
        <v>#VALUE!</v>
      </c>
      <c r="AD339" s="11" t="e">
        <f>SUM($S$31:S339,$R$31:R339,$T$31:T339)/$V$31</f>
        <v>#VALUE!</v>
      </c>
      <c r="AE339" s="11" t="e">
        <f>SUM($M$31:M339)/$V$31</f>
        <v>#VALUE!</v>
      </c>
      <c r="AF339" s="11" t="e">
        <f ca="1">SUM(SUM($M$31:M339),-SUM($T$31:T339))/$V$31</f>
        <v>#VALUE!</v>
      </c>
      <c r="AG339">
        <f t="shared" si="102"/>
        <v>95172</v>
      </c>
    </row>
    <row r="340" spans="2:33" x14ac:dyDescent="0.15">
      <c r="B340" s="1">
        <f t="shared" si="116"/>
        <v>309</v>
      </c>
      <c r="C340" s="1">
        <f t="shared" si="103"/>
        <v>309</v>
      </c>
      <c r="D340" s="25">
        <v>3.5286165274825899E-2</v>
      </c>
      <c r="E340" s="2">
        <f t="shared" si="104"/>
        <v>22758.428952608407</v>
      </c>
      <c r="F340" s="3">
        <f t="shared" si="117"/>
        <v>0.04</v>
      </c>
      <c r="G340" s="2">
        <f t="shared" si="118"/>
        <v>477.4153</v>
      </c>
      <c r="H340" s="2">
        <f t="shared" si="119"/>
        <v>75.861429842028031</v>
      </c>
      <c r="I340" s="2">
        <f t="shared" si="120"/>
        <v>401.55387015797197</v>
      </c>
      <c r="J340" s="2">
        <f t="shared" si="105"/>
        <v>22356.875082450435</v>
      </c>
      <c r="K340" s="2" t="e">
        <f t="shared" si="124"/>
        <v>#VALUE!</v>
      </c>
      <c r="L340" s="9">
        <v>1.6821425527395739E-3</v>
      </c>
      <c r="M340" s="2" t="e">
        <f t="shared" si="106"/>
        <v>#VALUE!</v>
      </c>
      <c r="N340" s="3">
        <f t="shared" si="107"/>
        <v>0.04</v>
      </c>
      <c r="O340" s="2" t="e">
        <f t="shared" si="108"/>
        <v>#VALUE!</v>
      </c>
      <c r="P340" s="10">
        <f t="shared" si="100"/>
        <v>0.22356875082450434</v>
      </c>
      <c r="Q340" s="13"/>
      <c r="R340" s="2" t="e">
        <f t="shared" si="121"/>
        <v>#VALUE!</v>
      </c>
      <c r="S340" s="2" t="e">
        <f t="shared" si="122"/>
        <v>#VALUE!</v>
      </c>
      <c r="T340" s="2" t="e">
        <f t="shared" ca="1" si="109"/>
        <v>#VALUE!</v>
      </c>
      <c r="U340" s="2" t="e">
        <f t="shared" si="123"/>
        <v>#VALUE!</v>
      </c>
      <c r="V340" s="2" t="e">
        <f t="shared" si="110"/>
        <v>#VALUE!</v>
      </c>
      <c r="W340" s="2">
        <f t="shared" si="111"/>
        <v>477.4153</v>
      </c>
      <c r="X340" s="2" t="e">
        <f t="shared" ca="1" si="112"/>
        <v>#VALUE!</v>
      </c>
      <c r="Y340" s="2" t="e">
        <f t="shared" ca="1" si="113"/>
        <v>#VALUE!</v>
      </c>
      <c r="Z340" s="10">
        <f t="shared" si="114"/>
        <v>0.35761898810210024</v>
      </c>
      <c r="AA340" s="10" t="e">
        <f t="shared" ca="1" si="101"/>
        <v>#VALUE!</v>
      </c>
      <c r="AB340" s="11" t="e">
        <f t="shared" si="115"/>
        <v>#VALUE!</v>
      </c>
      <c r="AC340" s="11" t="e">
        <f>SUM($S$31:S340)/$V$31</f>
        <v>#VALUE!</v>
      </c>
      <c r="AD340" s="11" t="e">
        <f>SUM($S$31:S340,$R$31:R340,$T$31:T340)/$V$31</f>
        <v>#VALUE!</v>
      </c>
      <c r="AE340" s="11" t="e">
        <f>SUM($M$31:M340)/$V$31</f>
        <v>#VALUE!</v>
      </c>
      <c r="AF340" s="11" t="e">
        <f ca="1">SUM(SUM($M$31:M340),-SUM($T$31:T340))/$V$31</f>
        <v>#VALUE!</v>
      </c>
      <c r="AG340">
        <f t="shared" si="102"/>
        <v>95790</v>
      </c>
    </row>
    <row r="341" spans="2:33" x14ac:dyDescent="0.15">
      <c r="B341" s="1">
        <f t="shared" si="116"/>
        <v>310</v>
      </c>
      <c r="C341" s="1">
        <f t="shared" si="103"/>
        <v>310</v>
      </c>
      <c r="D341" s="25">
        <v>3.52812041321078E-2</v>
      </c>
      <c r="E341" s="2">
        <f t="shared" si="104"/>
        <v>22356.875082450435</v>
      </c>
      <c r="F341" s="3">
        <f t="shared" si="117"/>
        <v>0.04</v>
      </c>
      <c r="G341" s="2">
        <f t="shared" si="118"/>
        <v>477.41520000000003</v>
      </c>
      <c r="H341" s="2">
        <f t="shared" si="119"/>
        <v>74.52291694150145</v>
      </c>
      <c r="I341" s="2">
        <f t="shared" si="120"/>
        <v>402.89228305849861</v>
      </c>
      <c r="J341" s="2">
        <f t="shared" si="105"/>
        <v>21953.982799391935</v>
      </c>
      <c r="K341" s="2" t="e">
        <f t="shared" si="124"/>
        <v>#VALUE!</v>
      </c>
      <c r="L341" s="9">
        <v>1.6821425527395739E-3</v>
      </c>
      <c r="M341" s="2" t="e">
        <f t="shared" si="106"/>
        <v>#VALUE!</v>
      </c>
      <c r="N341" s="3">
        <f t="shared" si="107"/>
        <v>0.04</v>
      </c>
      <c r="O341" s="2" t="e">
        <f t="shared" si="108"/>
        <v>#VALUE!</v>
      </c>
      <c r="P341" s="10">
        <f t="shared" si="100"/>
        <v>0.21953982799391936</v>
      </c>
      <c r="Q341" s="13"/>
      <c r="R341" s="2" t="e">
        <f t="shared" si="121"/>
        <v>#VALUE!</v>
      </c>
      <c r="S341" s="2" t="e">
        <f t="shared" si="122"/>
        <v>#VALUE!</v>
      </c>
      <c r="T341" s="2" t="e">
        <f t="shared" ca="1" si="109"/>
        <v>#VALUE!</v>
      </c>
      <c r="U341" s="2" t="e">
        <f t="shared" si="123"/>
        <v>#VALUE!</v>
      </c>
      <c r="V341" s="2" t="e">
        <f t="shared" si="110"/>
        <v>#VALUE!</v>
      </c>
      <c r="W341" s="2">
        <f t="shared" si="111"/>
        <v>477.41520000000003</v>
      </c>
      <c r="X341" s="2" t="e">
        <f t="shared" ca="1" si="112"/>
        <v>#VALUE!</v>
      </c>
      <c r="Y341" s="2" t="e">
        <f t="shared" ca="1" si="113"/>
        <v>#VALUE!</v>
      </c>
      <c r="Z341" s="10">
        <f t="shared" si="114"/>
        <v>0.35643088515189886</v>
      </c>
      <c r="AA341" s="10" t="e">
        <f t="shared" ca="1" si="101"/>
        <v>#VALUE!</v>
      </c>
      <c r="AB341" s="11" t="e">
        <f t="shared" si="115"/>
        <v>#VALUE!</v>
      </c>
      <c r="AC341" s="11" t="e">
        <f>SUM($S$31:S341)/$V$31</f>
        <v>#VALUE!</v>
      </c>
      <c r="AD341" s="11" t="e">
        <f>SUM($S$31:S341,$R$31:R341,$T$31:T341)/$V$31</f>
        <v>#VALUE!</v>
      </c>
      <c r="AE341" s="11" t="e">
        <f>SUM($M$31:M341)/$V$31</f>
        <v>#VALUE!</v>
      </c>
      <c r="AF341" s="11" t="e">
        <f ca="1">SUM(SUM($M$31:M341),-SUM($T$31:T341))/$V$31</f>
        <v>#VALUE!</v>
      </c>
      <c r="AG341">
        <f t="shared" si="102"/>
        <v>96410</v>
      </c>
    </row>
    <row r="342" spans="2:33" x14ac:dyDescent="0.15">
      <c r="B342" s="1">
        <f t="shared" si="116"/>
        <v>311</v>
      </c>
      <c r="C342" s="1">
        <f t="shared" si="103"/>
        <v>311</v>
      </c>
      <c r="D342" s="25">
        <v>3.5279177420867801E-2</v>
      </c>
      <c r="E342" s="2">
        <f t="shared" si="104"/>
        <v>21953.982799391935</v>
      </c>
      <c r="F342" s="3">
        <f t="shared" si="117"/>
        <v>0.04</v>
      </c>
      <c r="G342" s="2">
        <f t="shared" si="118"/>
        <v>477.4153</v>
      </c>
      <c r="H342" s="2">
        <f t="shared" si="119"/>
        <v>73.179942664639782</v>
      </c>
      <c r="I342" s="2">
        <f t="shared" si="120"/>
        <v>404.23535733536022</v>
      </c>
      <c r="J342" s="2">
        <f t="shared" si="105"/>
        <v>21549.747442056574</v>
      </c>
      <c r="K342" s="2" t="e">
        <f t="shared" si="124"/>
        <v>#VALUE!</v>
      </c>
      <c r="L342" s="9">
        <v>1.6821425527395739E-3</v>
      </c>
      <c r="M342" s="2" t="e">
        <f t="shared" si="106"/>
        <v>#VALUE!</v>
      </c>
      <c r="N342" s="3">
        <f t="shared" si="107"/>
        <v>0.04</v>
      </c>
      <c r="O342" s="2" t="e">
        <f t="shared" si="108"/>
        <v>#VALUE!</v>
      </c>
      <c r="P342" s="10">
        <f t="shared" si="100"/>
        <v>0.21549747442056574</v>
      </c>
      <c r="Q342" s="13"/>
      <c r="R342" s="2" t="e">
        <f t="shared" si="121"/>
        <v>#VALUE!</v>
      </c>
      <c r="S342" s="2" t="e">
        <f t="shared" si="122"/>
        <v>#VALUE!</v>
      </c>
      <c r="T342" s="2" t="e">
        <f t="shared" ca="1" si="109"/>
        <v>#VALUE!</v>
      </c>
      <c r="U342" s="2" t="e">
        <f t="shared" si="123"/>
        <v>#VALUE!</v>
      </c>
      <c r="V342" s="2" t="e">
        <f t="shared" si="110"/>
        <v>#VALUE!</v>
      </c>
      <c r="W342" s="2">
        <f t="shared" si="111"/>
        <v>477.4153</v>
      </c>
      <c r="X342" s="2" t="e">
        <f t="shared" ca="1" si="112"/>
        <v>#VALUE!</v>
      </c>
      <c r="Y342" s="2" t="e">
        <f t="shared" ca="1" si="113"/>
        <v>#VALUE!</v>
      </c>
      <c r="Z342" s="10">
        <f t="shared" si="114"/>
        <v>0.35524672938757756</v>
      </c>
      <c r="AA342" s="10" t="e">
        <f t="shared" ca="1" si="101"/>
        <v>#VALUE!</v>
      </c>
      <c r="AB342" s="11" t="e">
        <f t="shared" si="115"/>
        <v>#VALUE!</v>
      </c>
      <c r="AC342" s="11" t="e">
        <f>SUM($S$31:S342)/$V$31</f>
        <v>#VALUE!</v>
      </c>
      <c r="AD342" s="11" t="e">
        <f>SUM($S$31:S342,$R$31:R342,$T$31:T342)/$V$31</f>
        <v>#VALUE!</v>
      </c>
      <c r="AE342" s="11" t="e">
        <f>SUM($M$31:M342)/$V$31</f>
        <v>#VALUE!</v>
      </c>
      <c r="AF342" s="11" t="e">
        <f ca="1">SUM(SUM($M$31:M342),-SUM($T$31:T342))/$V$31</f>
        <v>#VALUE!</v>
      </c>
      <c r="AG342">
        <f t="shared" si="102"/>
        <v>97032</v>
      </c>
    </row>
    <row r="343" spans="2:33" x14ac:dyDescent="0.15">
      <c r="B343" s="1">
        <f t="shared" si="116"/>
        <v>312</v>
      </c>
      <c r="C343" s="1">
        <f t="shared" si="103"/>
        <v>312</v>
      </c>
      <c r="D343" s="25">
        <v>3.5274771661235597E-2</v>
      </c>
      <c r="E343" s="2">
        <f t="shared" si="104"/>
        <v>21549.747442056574</v>
      </c>
      <c r="F343" s="3">
        <f t="shared" si="117"/>
        <v>0.04</v>
      </c>
      <c r="G343" s="2">
        <f t="shared" si="118"/>
        <v>477.41520000000003</v>
      </c>
      <c r="H343" s="2">
        <f t="shared" si="119"/>
        <v>71.832491473521912</v>
      </c>
      <c r="I343" s="2">
        <f t="shared" si="120"/>
        <v>405.58270852647809</v>
      </c>
      <c r="J343" s="2">
        <f t="shared" si="105"/>
        <v>21144.164733530095</v>
      </c>
      <c r="K343" s="2" t="e">
        <f t="shared" si="124"/>
        <v>#VALUE!</v>
      </c>
      <c r="L343" s="9">
        <v>1.6821425527395739E-3</v>
      </c>
      <c r="M343" s="2" t="e">
        <f t="shared" si="106"/>
        <v>#VALUE!</v>
      </c>
      <c r="N343" s="3">
        <f t="shared" si="107"/>
        <v>0.04</v>
      </c>
      <c r="O343" s="2" t="e">
        <f t="shared" si="108"/>
        <v>#VALUE!</v>
      </c>
      <c r="P343" s="10">
        <f t="shared" si="100"/>
        <v>0.21144164733530094</v>
      </c>
      <c r="Q343" s="13"/>
      <c r="R343" s="2" t="e">
        <f t="shared" si="121"/>
        <v>#VALUE!</v>
      </c>
      <c r="S343" s="2" t="e">
        <f t="shared" si="122"/>
        <v>#VALUE!</v>
      </c>
      <c r="T343" s="2" t="e">
        <f t="shared" ca="1" si="109"/>
        <v>#VALUE!</v>
      </c>
      <c r="U343" s="2" t="e">
        <f t="shared" si="123"/>
        <v>#VALUE!</v>
      </c>
      <c r="V343" s="2" t="e">
        <f t="shared" si="110"/>
        <v>#VALUE!</v>
      </c>
      <c r="W343" s="2">
        <f t="shared" si="111"/>
        <v>477.41520000000003</v>
      </c>
      <c r="X343" s="2" t="e">
        <f t="shared" ca="1" si="112"/>
        <v>#VALUE!</v>
      </c>
      <c r="Y343" s="2" t="e">
        <f t="shared" ca="1" si="113"/>
        <v>#VALUE!</v>
      </c>
      <c r="Z343" s="10">
        <f t="shared" si="114"/>
        <v>0.35406650769556203</v>
      </c>
      <c r="AA343" s="10" t="e">
        <f t="shared" ca="1" si="101"/>
        <v>#VALUE!</v>
      </c>
      <c r="AB343" s="11" t="e">
        <f t="shared" si="115"/>
        <v>#VALUE!</v>
      </c>
      <c r="AC343" s="11" t="e">
        <f>SUM($S$31:S343)/$V$31</f>
        <v>#VALUE!</v>
      </c>
      <c r="AD343" s="11" t="e">
        <f>SUM($S$31:S343,$R$31:R343,$T$31:T343)/$V$31</f>
        <v>#VALUE!</v>
      </c>
      <c r="AE343" s="11" t="e">
        <f>SUM($M$31:M343)/$V$31</f>
        <v>#VALUE!</v>
      </c>
      <c r="AF343" s="11" t="e">
        <f ca="1">SUM(SUM($M$31:M343),-SUM($T$31:T343))/$V$31</f>
        <v>#VALUE!</v>
      </c>
      <c r="AG343">
        <f t="shared" si="102"/>
        <v>97656</v>
      </c>
    </row>
    <row r="344" spans="2:33" x14ac:dyDescent="0.15">
      <c r="B344" s="1">
        <f t="shared" si="116"/>
        <v>313</v>
      </c>
      <c r="C344" s="1">
        <f t="shared" si="103"/>
        <v>313</v>
      </c>
      <c r="D344" s="25">
        <v>3.5264810465929698E-2</v>
      </c>
      <c r="E344" s="2">
        <f t="shared" si="104"/>
        <v>21144.164733530095</v>
      </c>
      <c r="F344" s="3">
        <f t="shared" si="117"/>
        <v>0.04</v>
      </c>
      <c r="G344" s="2">
        <f t="shared" si="118"/>
        <v>477.4153</v>
      </c>
      <c r="H344" s="2">
        <f t="shared" si="119"/>
        <v>70.48054911176699</v>
      </c>
      <c r="I344" s="2">
        <f t="shared" si="120"/>
        <v>406.934750888233</v>
      </c>
      <c r="J344" s="2">
        <f t="shared" si="105"/>
        <v>20737.22998264186</v>
      </c>
      <c r="K344" s="2" t="e">
        <f t="shared" si="124"/>
        <v>#VALUE!</v>
      </c>
      <c r="L344" s="9">
        <v>1.6821425527395739E-3</v>
      </c>
      <c r="M344" s="2" t="e">
        <f t="shared" si="106"/>
        <v>#VALUE!</v>
      </c>
      <c r="N344" s="3">
        <f t="shared" si="107"/>
        <v>0.04</v>
      </c>
      <c r="O344" s="2" t="e">
        <f t="shared" si="108"/>
        <v>#VALUE!</v>
      </c>
      <c r="P344" s="10">
        <f t="shared" si="100"/>
        <v>0.20737229982641861</v>
      </c>
      <c r="Q344" s="13"/>
      <c r="R344" s="2" t="e">
        <f t="shared" si="121"/>
        <v>#VALUE!</v>
      </c>
      <c r="S344" s="2" t="e">
        <f t="shared" si="122"/>
        <v>#VALUE!</v>
      </c>
      <c r="T344" s="2" t="e">
        <f t="shared" ca="1" si="109"/>
        <v>#VALUE!</v>
      </c>
      <c r="U344" s="2" t="e">
        <f t="shared" si="123"/>
        <v>#VALUE!</v>
      </c>
      <c r="V344" s="2" t="e">
        <f t="shared" si="110"/>
        <v>#VALUE!</v>
      </c>
      <c r="W344" s="2">
        <f t="shared" si="111"/>
        <v>477.4153</v>
      </c>
      <c r="X344" s="2" t="e">
        <f t="shared" ca="1" si="112"/>
        <v>#VALUE!</v>
      </c>
      <c r="Y344" s="2" t="e">
        <f t="shared" ca="1" si="113"/>
        <v>#VALUE!</v>
      </c>
      <c r="Z344" s="10">
        <f t="shared" si="114"/>
        <v>0.35289020700584456</v>
      </c>
      <c r="AA344" s="10" t="e">
        <f t="shared" ca="1" si="101"/>
        <v>#VALUE!</v>
      </c>
      <c r="AB344" s="11" t="e">
        <f t="shared" si="115"/>
        <v>#VALUE!</v>
      </c>
      <c r="AC344" s="11" t="e">
        <f>SUM($S$31:S344)/$V$31</f>
        <v>#VALUE!</v>
      </c>
      <c r="AD344" s="11" t="e">
        <f>SUM($S$31:S344,$R$31:R344,$T$31:T344)/$V$31</f>
        <v>#VALUE!</v>
      </c>
      <c r="AE344" s="11" t="e">
        <f>SUM($M$31:M344)/$V$31</f>
        <v>#VALUE!</v>
      </c>
      <c r="AF344" s="11" t="e">
        <f ca="1">SUM(SUM($M$31:M344),-SUM($T$31:T344))/$V$31</f>
        <v>#VALUE!</v>
      </c>
      <c r="AG344">
        <f t="shared" si="102"/>
        <v>98282</v>
      </c>
    </row>
    <row r="345" spans="2:33" x14ac:dyDescent="0.15">
      <c r="B345" s="1">
        <f t="shared" si="116"/>
        <v>314</v>
      </c>
      <c r="C345" s="1">
        <f t="shared" si="103"/>
        <v>314</v>
      </c>
      <c r="D345" s="25">
        <v>3.5264795454077201E-2</v>
      </c>
      <c r="E345" s="2">
        <f t="shared" si="104"/>
        <v>20737.22998264186</v>
      </c>
      <c r="F345" s="3">
        <f t="shared" si="117"/>
        <v>0.04</v>
      </c>
      <c r="G345" s="2">
        <f t="shared" si="118"/>
        <v>477.41520000000003</v>
      </c>
      <c r="H345" s="2">
        <f t="shared" si="119"/>
        <v>69.124099942139537</v>
      </c>
      <c r="I345" s="2">
        <f t="shared" si="120"/>
        <v>408.29110005786049</v>
      </c>
      <c r="J345" s="2">
        <f t="shared" si="105"/>
        <v>20328.938882584</v>
      </c>
      <c r="K345" s="2" t="e">
        <f t="shared" si="124"/>
        <v>#VALUE!</v>
      </c>
      <c r="L345" s="9">
        <v>1.6821425527395739E-3</v>
      </c>
      <c r="M345" s="2" t="e">
        <f t="shared" si="106"/>
        <v>#VALUE!</v>
      </c>
      <c r="N345" s="3">
        <f t="shared" si="107"/>
        <v>0.04</v>
      </c>
      <c r="O345" s="2" t="e">
        <f t="shared" si="108"/>
        <v>#VALUE!</v>
      </c>
      <c r="P345" s="10">
        <f t="shared" si="100"/>
        <v>0.20328938882584</v>
      </c>
      <c r="Q345" s="13"/>
      <c r="R345" s="2" t="e">
        <f t="shared" si="121"/>
        <v>#VALUE!</v>
      </c>
      <c r="S345" s="2" t="e">
        <f t="shared" si="122"/>
        <v>#VALUE!</v>
      </c>
      <c r="T345" s="2" t="e">
        <f t="shared" ca="1" si="109"/>
        <v>#VALUE!</v>
      </c>
      <c r="U345" s="2" t="e">
        <f t="shared" si="123"/>
        <v>#VALUE!</v>
      </c>
      <c r="V345" s="2" t="e">
        <f t="shared" si="110"/>
        <v>#VALUE!</v>
      </c>
      <c r="W345" s="2">
        <f t="shared" si="111"/>
        <v>477.41520000000003</v>
      </c>
      <c r="X345" s="2" t="e">
        <f t="shared" ca="1" si="112"/>
        <v>#VALUE!</v>
      </c>
      <c r="Y345" s="2" t="e">
        <f t="shared" ca="1" si="113"/>
        <v>#VALUE!</v>
      </c>
      <c r="Z345" s="10">
        <f t="shared" si="114"/>
        <v>0.35171781429183929</v>
      </c>
      <c r="AA345" s="10" t="e">
        <f t="shared" ca="1" si="101"/>
        <v>#VALUE!</v>
      </c>
      <c r="AB345" s="11" t="e">
        <f t="shared" si="115"/>
        <v>#VALUE!</v>
      </c>
      <c r="AC345" s="11" t="e">
        <f>SUM($S$31:S345)/$V$31</f>
        <v>#VALUE!</v>
      </c>
      <c r="AD345" s="11" t="e">
        <f>SUM($S$31:S345,$R$31:R345,$T$31:T345)/$V$31</f>
        <v>#VALUE!</v>
      </c>
      <c r="AE345" s="11" t="e">
        <f>SUM($M$31:M345)/$V$31</f>
        <v>#VALUE!</v>
      </c>
      <c r="AF345" s="11" t="e">
        <f ca="1">SUM(SUM($M$31:M345),-SUM($T$31:T345))/$V$31</f>
        <v>#VALUE!</v>
      </c>
      <c r="AG345">
        <f t="shared" si="102"/>
        <v>98910</v>
      </c>
    </row>
    <row r="346" spans="2:33" x14ac:dyDescent="0.15">
      <c r="B346" s="1">
        <f t="shared" si="116"/>
        <v>315</v>
      </c>
      <c r="C346" s="1">
        <f t="shared" si="103"/>
        <v>315</v>
      </c>
      <c r="D346" s="25">
        <v>3.5257076764308996E-2</v>
      </c>
      <c r="E346" s="2">
        <f t="shared" si="104"/>
        <v>20328.938882584</v>
      </c>
      <c r="F346" s="3">
        <f t="shared" si="117"/>
        <v>0.04</v>
      </c>
      <c r="G346" s="2">
        <f t="shared" si="118"/>
        <v>477.4153</v>
      </c>
      <c r="H346" s="2">
        <f t="shared" si="119"/>
        <v>67.76312960861334</v>
      </c>
      <c r="I346" s="2">
        <f t="shared" si="120"/>
        <v>409.65217039138668</v>
      </c>
      <c r="J346" s="2">
        <f t="shared" si="105"/>
        <v>19919.286712192614</v>
      </c>
      <c r="K346" s="2" t="e">
        <f t="shared" si="124"/>
        <v>#VALUE!</v>
      </c>
      <c r="L346" s="9">
        <v>1.6821425527395739E-3</v>
      </c>
      <c r="M346" s="2" t="e">
        <f t="shared" si="106"/>
        <v>#VALUE!</v>
      </c>
      <c r="N346" s="3">
        <f t="shared" si="107"/>
        <v>0.04</v>
      </c>
      <c r="O346" s="2" t="e">
        <f t="shared" si="108"/>
        <v>#VALUE!</v>
      </c>
      <c r="P346" s="10">
        <f t="shared" si="100"/>
        <v>0.19919286712192613</v>
      </c>
      <c r="Q346" s="13"/>
      <c r="R346" s="2" t="e">
        <f t="shared" si="121"/>
        <v>#VALUE!</v>
      </c>
      <c r="S346" s="2" t="e">
        <f t="shared" si="122"/>
        <v>#VALUE!</v>
      </c>
      <c r="T346" s="2" t="e">
        <f t="shared" ca="1" si="109"/>
        <v>#VALUE!</v>
      </c>
      <c r="U346" s="2" t="e">
        <f t="shared" si="123"/>
        <v>#VALUE!</v>
      </c>
      <c r="V346" s="2" t="e">
        <f t="shared" si="110"/>
        <v>#VALUE!</v>
      </c>
      <c r="W346" s="2">
        <f t="shared" si="111"/>
        <v>477.4153</v>
      </c>
      <c r="X346" s="2" t="e">
        <f t="shared" ca="1" si="112"/>
        <v>#VALUE!</v>
      </c>
      <c r="Y346" s="2" t="e">
        <f t="shared" ca="1" si="113"/>
        <v>#VALUE!</v>
      </c>
      <c r="Z346" s="10">
        <f t="shared" si="114"/>
        <v>0.35054931657023847</v>
      </c>
      <c r="AA346" s="10" t="e">
        <f t="shared" ca="1" si="101"/>
        <v>#VALUE!</v>
      </c>
      <c r="AB346" s="11" t="e">
        <f t="shared" si="115"/>
        <v>#VALUE!</v>
      </c>
      <c r="AC346" s="11" t="e">
        <f>SUM($S$31:S346)/$V$31</f>
        <v>#VALUE!</v>
      </c>
      <c r="AD346" s="11" t="e">
        <f>SUM($S$31:S346,$R$31:R346,$T$31:T346)/$V$31</f>
        <v>#VALUE!</v>
      </c>
      <c r="AE346" s="11" t="e">
        <f>SUM($M$31:M346)/$V$31</f>
        <v>#VALUE!</v>
      </c>
      <c r="AF346" s="11" t="e">
        <f ca="1">SUM(SUM($M$31:M346),-SUM($T$31:T346))/$V$31</f>
        <v>#VALUE!</v>
      </c>
      <c r="AG346">
        <f t="shared" si="102"/>
        <v>99540</v>
      </c>
    </row>
    <row r="347" spans="2:33" x14ac:dyDescent="0.15">
      <c r="B347" s="1">
        <f t="shared" si="116"/>
        <v>316</v>
      </c>
      <c r="C347" s="1">
        <f t="shared" si="103"/>
        <v>316</v>
      </c>
      <c r="D347" s="25">
        <v>3.5252287761081601E-2</v>
      </c>
      <c r="E347" s="2">
        <f t="shared" si="104"/>
        <v>19919.286712192614</v>
      </c>
      <c r="F347" s="3">
        <f t="shared" si="117"/>
        <v>0.04</v>
      </c>
      <c r="G347" s="2">
        <f t="shared" si="118"/>
        <v>477.41520000000003</v>
      </c>
      <c r="H347" s="2">
        <f t="shared" si="119"/>
        <v>66.397622373975381</v>
      </c>
      <c r="I347" s="2">
        <f t="shared" si="120"/>
        <v>411.01757762602466</v>
      </c>
      <c r="J347" s="2">
        <f t="shared" si="105"/>
        <v>19508.269134566588</v>
      </c>
      <c r="K347" s="2" t="e">
        <f t="shared" si="124"/>
        <v>#VALUE!</v>
      </c>
      <c r="L347" s="9">
        <v>1.6821425527395739E-3</v>
      </c>
      <c r="M347" s="2" t="e">
        <f t="shared" si="106"/>
        <v>#VALUE!</v>
      </c>
      <c r="N347" s="3">
        <f t="shared" si="107"/>
        <v>0.04</v>
      </c>
      <c r="O347" s="2" t="e">
        <f t="shared" si="108"/>
        <v>#VALUE!</v>
      </c>
      <c r="P347" s="10">
        <f t="shared" si="100"/>
        <v>0.19508269134566589</v>
      </c>
      <c r="Q347" s="13"/>
      <c r="R347" s="2" t="e">
        <f t="shared" si="121"/>
        <v>#VALUE!</v>
      </c>
      <c r="S347" s="2" t="e">
        <f t="shared" si="122"/>
        <v>#VALUE!</v>
      </c>
      <c r="T347" s="2" t="e">
        <f t="shared" ca="1" si="109"/>
        <v>#VALUE!</v>
      </c>
      <c r="U347" s="2" t="e">
        <f t="shared" si="123"/>
        <v>#VALUE!</v>
      </c>
      <c r="V347" s="2" t="e">
        <f t="shared" si="110"/>
        <v>#VALUE!</v>
      </c>
      <c r="W347" s="2">
        <f t="shared" si="111"/>
        <v>477.41520000000003</v>
      </c>
      <c r="X347" s="2" t="e">
        <f t="shared" ca="1" si="112"/>
        <v>#VALUE!</v>
      </c>
      <c r="Y347" s="2" t="e">
        <f t="shared" ca="1" si="113"/>
        <v>#VALUE!</v>
      </c>
      <c r="Z347" s="10">
        <f t="shared" si="114"/>
        <v>0.34938470090086793</v>
      </c>
      <c r="AA347" s="10" t="e">
        <f t="shared" ca="1" si="101"/>
        <v>#VALUE!</v>
      </c>
      <c r="AB347" s="11" t="e">
        <f t="shared" si="115"/>
        <v>#VALUE!</v>
      </c>
      <c r="AC347" s="11" t="e">
        <f>SUM($S$31:S347)/$V$31</f>
        <v>#VALUE!</v>
      </c>
      <c r="AD347" s="11" t="e">
        <f>SUM($S$31:S347,$R$31:R347,$T$31:T347)/$V$31</f>
        <v>#VALUE!</v>
      </c>
      <c r="AE347" s="11" t="e">
        <f>SUM($M$31:M347)/$V$31</f>
        <v>#VALUE!</v>
      </c>
      <c r="AF347" s="11" t="e">
        <f ca="1">SUM(SUM($M$31:M347),-SUM($T$31:T347))/$V$31</f>
        <v>#VALUE!</v>
      </c>
      <c r="AG347">
        <f t="shared" si="102"/>
        <v>100172</v>
      </c>
    </row>
    <row r="348" spans="2:33" x14ac:dyDescent="0.15">
      <c r="B348" s="1">
        <f t="shared" si="116"/>
        <v>317</v>
      </c>
      <c r="C348" s="1">
        <f t="shared" si="103"/>
        <v>317</v>
      </c>
      <c r="D348" s="25">
        <v>3.5243455481313399E-2</v>
      </c>
      <c r="E348" s="2">
        <f t="shared" si="104"/>
        <v>19508.269134566588</v>
      </c>
      <c r="F348" s="3">
        <f t="shared" si="117"/>
        <v>0.04</v>
      </c>
      <c r="G348" s="2">
        <f t="shared" si="118"/>
        <v>477.4153</v>
      </c>
      <c r="H348" s="2">
        <f t="shared" si="119"/>
        <v>65.027563781888631</v>
      </c>
      <c r="I348" s="2">
        <f t="shared" si="120"/>
        <v>412.3877362181114</v>
      </c>
      <c r="J348" s="2">
        <f t="shared" si="105"/>
        <v>19095.881398348476</v>
      </c>
      <c r="K348" s="2" t="e">
        <f t="shared" si="124"/>
        <v>#VALUE!</v>
      </c>
      <c r="L348" s="9">
        <v>1.6821425527395739E-3</v>
      </c>
      <c r="M348" s="2" t="e">
        <f t="shared" si="106"/>
        <v>#VALUE!</v>
      </c>
      <c r="N348" s="3">
        <f t="shared" si="107"/>
        <v>0.04</v>
      </c>
      <c r="O348" s="2" t="e">
        <f t="shared" si="108"/>
        <v>#VALUE!</v>
      </c>
      <c r="P348" s="10">
        <f t="shared" si="100"/>
        <v>0.19095881398348477</v>
      </c>
      <c r="Q348" s="13"/>
      <c r="R348" s="2" t="e">
        <f t="shared" si="121"/>
        <v>#VALUE!</v>
      </c>
      <c r="S348" s="2" t="e">
        <f t="shared" si="122"/>
        <v>#VALUE!</v>
      </c>
      <c r="T348" s="2" t="e">
        <f t="shared" ca="1" si="109"/>
        <v>#VALUE!</v>
      </c>
      <c r="U348" s="2" t="e">
        <f t="shared" si="123"/>
        <v>#VALUE!</v>
      </c>
      <c r="V348" s="2" t="e">
        <f t="shared" si="110"/>
        <v>#VALUE!</v>
      </c>
      <c r="W348" s="2">
        <f t="shared" si="111"/>
        <v>477.4153</v>
      </c>
      <c r="X348" s="2" t="e">
        <f t="shared" ca="1" si="112"/>
        <v>#VALUE!</v>
      </c>
      <c r="Y348" s="2" t="e">
        <f t="shared" ca="1" si="113"/>
        <v>#VALUE!</v>
      </c>
      <c r="Z348" s="10">
        <f t="shared" si="114"/>
        <v>0.34822395438654413</v>
      </c>
      <c r="AA348" s="10" t="e">
        <f t="shared" ca="1" si="101"/>
        <v>#VALUE!</v>
      </c>
      <c r="AB348" s="11" t="e">
        <f t="shared" si="115"/>
        <v>#VALUE!</v>
      </c>
      <c r="AC348" s="11" t="e">
        <f>SUM($S$31:S348)/$V$31</f>
        <v>#VALUE!</v>
      </c>
      <c r="AD348" s="11" t="e">
        <f>SUM($S$31:S348,$R$31:R348,$T$31:T348)/$V$31</f>
        <v>#VALUE!</v>
      </c>
      <c r="AE348" s="11" t="e">
        <f>SUM($M$31:M348)/$V$31</f>
        <v>#VALUE!</v>
      </c>
      <c r="AF348" s="11" t="e">
        <f ca="1">SUM(SUM($M$31:M348),-SUM($T$31:T348))/$V$31</f>
        <v>#VALUE!</v>
      </c>
      <c r="AG348">
        <f t="shared" si="102"/>
        <v>100806</v>
      </c>
    </row>
    <row r="349" spans="2:33" x14ac:dyDescent="0.15">
      <c r="B349" s="1">
        <f t="shared" si="116"/>
        <v>318</v>
      </c>
      <c r="C349" s="1">
        <f t="shared" si="103"/>
        <v>318</v>
      </c>
      <c r="D349" s="25">
        <v>3.5237550210724194E-2</v>
      </c>
      <c r="E349" s="2">
        <f t="shared" si="104"/>
        <v>19095.881398348476</v>
      </c>
      <c r="F349" s="3">
        <f t="shared" si="117"/>
        <v>0.04</v>
      </c>
      <c r="G349" s="2">
        <f t="shared" si="118"/>
        <v>477.41520000000003</v>
      </c>
      <c r="H349" s="2">
        <f t="shared" si="119"/>
        <v>63.652937994494927</v>
      </c>
      <c r="I349" s="2">
        <f t="shared" si="120"/>
        <v>413.76226200550508</v>
      </c>
      <c r="J349" s="2">
        <f t="shared" si="105"/>
        <v>18682.119136342972</v>
      </c>
      <c r="K349" s="2" t="e">
        <f t="shared" si="124"/>
        <v>#VALUE!</v>
      </c>
      <c r="L349" s="9">
        <v>1.6821425527395739E-3</v>
      </c>
      <c r="M349" s="2" t="e">
        <f t="shared" si="106"/>
        <v>#VALUE!</v>
      </c>
      <c r="N349" s="3">
        <f t="shared" si="107"/>
        <v>0.04</v>
      </c>
      <c r="O349" s="2" t="e">
        <f t="shared" si="108"/>
        <v>#VALUE!</v>
      </c>
      <c r="P349" s="10">
        <f t="shared" si="100"/>
        <v>0.18682119136342973</v>
      </c>
      <c r="Q349" s="13"/>
      <c r="R349" s="2" t="e">
        <f t="shared" si="121"/>
        <v>#VALUE!</v>
      </c>
      <c r="S349" s="2" t="e">
        <f t="shared" si="122"/>
        <v>#VALUE!</v>
      </c>
      <c r="T349" s="2" t="e">
        <f t="shared" ca="1" si="109"/>
        <v>#VALUE!</v>
      </c>
      <c r="U349" s="2" t="e">
        <f t="shared" si="123"/>
        <v>#VALUE!</v>
      </c>
      <c r="V349" s="2" t="e">
        <f t="shared" si="110"/>
        <v>#VALUE!</v>
      </c>
      <c r="W349" s="2">
        <f t="shared" si="111"/>
        <v>477.41520000000003</v>
      </c>
      <c r="X349" s="2" t="e">
        <f t="shared" ca="1" si="112"/>
        <v>#VALUE!</v>
      </c>
      <c r="Y349" s="2" t="e">
        <f t="shared" ca="1" si="113"/>
        <v>#VALUE!</v>
      </c>
      <c r="Z349" s="10">
        <f t="shared" si="114"/>
        <v>0.34706706417293121</v>
      </c>
      <c r="AA349" s="10" t="e">
        <f t="shared" ca="1" si="101"/>
        <v>#VALUE!</v>
      </c>
      <c r="AB349" s="11" t="e">
        <f t="shared" si="115"/>
        <v>#VALUE!</v>
      </c>
      <c r="AC349" s="11" t="e">
        <f>SUM($S$31:S349)/$V$31</f>
        <v>#VALUE!</v>
      </c>
      <c r="AD349" s="11" t="e">
        <f>SUM($S$31:S349,$R$31:R349,$T$31:T349)/$V$31</f>
        <v>#VALUE!</v>
      </c>
      <c r="AE349" s="11" t="e">
        <f>SUM($M$31:M349)/$V$31</f>
        <v>#VALUE!</v>
      </c>
      <c r="AF349" s="11" t="e">
        <f ca="1">SUM(SUM($M$31:M349),-SUM($T$31:T349))/$V$31</f>
        <v>#VALUE!</v>
      </c>
      <c r="AG349">
        <f t="shared" si="102"/>
        <v>101442</v>
      </c>
    </row>
    <row r="350" spans="2:33" x14ac:dyDescent="0.15">
      <c r="B350" s="1">
        <f t="shared" si="116"/>
        <v>319</v>
      </c>
      <c r="C350" s="1">
        <f t="shared" si="103"/>
        <v>319</v>
      </c>
      <c r="D350" s="25">
        <v>3.52292060896729E-2</v>
      </c>
      <c r="E350" s="2">
        <f t="shared" si="104"/>
        <v>18682.119136342972</v>
      </c>
      <c r="F350" s="3">
        <f t="shared" si="117"/>
        <v>0.04</v>
      </c>
      <c r="G350" s="2">
        <f t="shared" si="118"/>
        <v>477.4153</v>
      </c>
      <c r="H350" s="2">
        <f t="shared" si="119"/>
        <v>62.273730454476578</v>
      </c>
      <c r="I350" s="2">
        <f t="shared" si="120"/>
        <v>415.14156954552345</v>
      </c>
      <c r="J350" s="2">
        <f t="shared" si="105"/>
        <v>18266.977566797446</v>
      </c>
      <c r="K350" s="2" t="e">
        <f t="shared" si="124"/>
        <v>#VALUE!</v>
      </c>
      <c r="L350" s="9">
        <v>1.6821425527395739E-3</v>
      </c>
      <c r="M350" s="2" t="e">
        <f t="shared" si="106"/>
        <v>#VALUE!</v>
      </c>
      <c r="N350" s="3">
        <f t="shared" si="107"/>
        <v>0.04</v>
      </c>
      <c r="O350" s="2" t="e">
        <f t="shared" si="108"/>
        <v>#VALUE!</v>
      </c>
      <c r="P350" s="10">
        <f t="shared" si="100"/>
        <v>0.18266977566797446</v>
      </c>
      <c r="Q350" s="13"/>
      <c r="R350" s="2" t="e">
        <f t="shared" si="121"/>
        <v>#VALUE!</v>
      </c>
      <c r="S350" s="2" t="e">
        <f t="shared" si="122"/>
        <v>#VALUE!</v>
      </c>
      <c r="T350" s="2" t="e">
        <f t="shared" ca="1" si="109"/>
        <v>#VALUE!</v>
      </c>
      <c r="U350" s="2" t="e">
        <f t="shared" si="123"/>
        <v>#VALUE!</v>
      </c>
      <c r="V350" s="2" t="e">
        <f t="shared" si="110"/>
        <v>#VALUE!</v>
      </c>
      <c r="W350" s="2">
        <f t="shared" si="111"/>
        <v>477.4153</v>
      </c>
      <c r="X350" s="2" t="e">
        <f t="shared" ca="1" si="112"/>
        <v>#VALUE!</v>
      </c>
      <c r="Y350" s="2" t="e">
        <f t="shared" ca="1" si="113"/>
        <v>#VALUE!</v>
      </c>
      <c r="Z350" s="10">
        <f t="shared" si="114"/>
        <v>0.34591401744839928</v>
      </c>
      <c r="AA350" s="10" t="e">
        <f t="shared" ca="1" si="101"/>
        <v>#VALUE!</v>
      </c>
      <c r="AB350" s="11" t="e">
        <f t="shared" si="115"/>
        <v>#VALUE!</v>
      </c>
      <c r="AC350" s="11" t="e">
        <f>SUM($S$31:S350)/$V$31</f>
        <v>#VALUE!</v>
      </c>
      <c r="AD350" s="11" t="e">
        <f>SUM($S$31:S350,$R$31:R350,$T$31:T350)/$V$31</f>
        <v>#VALUE!</v>
      </c>
      <c r="AE350" s="11" t="e">
        <f>SUM($M$31:M350)/$V$31</f>
        <v>#VALUE!</v>
      </c>
      <c r="AF350" s="11" t="e">
        <f ca="1">SUM(SUM($M$31:M350),-SUM($T$31:T350))/$V$31</f>
        <v>#VALUE!</v>
      </c>
      <c r="AG350">
        <f t="shared" si="102"/>
        <v>102080</v>
      </c>
    </row>
    <row r="351" spans="2:33" x14ac:dyDescent="0.15">
      <c r="B351" s="1">
        <f t="shared" si="116"/>
        <v>320</v>
      </c>
      <c r="C351" s="1">
        <f t="shared" si="103"/>
        <v>320</v>
      </c>
      <c r="D351" s="25">
        <v>3.5218694718477599E-2</v>
      </c>
      <c r="E351" s="2">
        <f t="shared" si="104"/>
        <v>18266.977566797446</v>
      </c>
      <c r="F351" s="3">
        <f t="shared" si="117"/>
        <v>0.04</v>
      </c>
      <c r="G351" s="2">
        <f t="shared" si="118"/>
        <v>477.41520000000003</v>
      </c>
      <c r="H351" s="2">
        <f t="shared" si="119"/>
        <v>60.889925222658157</v>
      </c>
      <c r="I351" s="2">
        <f t="shared" si="120"/>
        <v>416.52527477734185</v>
      </c>
      <c r="J351" s="2">
        <f t="shared" si="105"/>
        <v>17850.452292020105</v>
      </c>
      <c r="K351" s="2" t="e">
        <f t="shared" si="124"/>
        <v>#VALUE!</v>
      </c>
      <c r="L351" s="9">
        <v>1.6821425527395739E-3</v>
      </c>
      <c r="M351" s="2" t="e">
        <f t="shared" si="106"/>
        <v>#VALUE!</v>
      </c>
      <c r="N351" s="3">
        <f t="shared" si="107"/>
        <v>0.04</v>
      </c>
      <c r="O351" s="2" t="e">
        <f t="shared" si="108"/>
        <v>#VALUE!</v>
      </c>
      <c r="P351" s="10">
        <f t="shared" ref="P351:P391" si="125">J351/$J$31</f>
        <v>0.17850452292020105</v>
      </c>
      <c r="Q351" s="13"/>
      <c r="R351" s="2" t="e">
        <f t="shared" si="121"/>
        <v>#VALUE!</v>
      </c>
      <c r="S351" s="2" t="e">
        <f t="shared" si="122"/>
        <v>#VALUE!</v>
      </c>
      <c r="T351" s="2" t="e">
        <f t="shared" ca="1" si="109"/>
        <v>#VALUE!</v>
      </c>
      <c r="U351" s="2" t="e">
        <f t="shared" si="123"/>
        <v>#VALUE!</v>
      </c>
      <c r="V351" s="2" t="e">
        <f t="shared" si="110"/>
        <v>#VALUE!</v>
      </c>
      <c r="W351" s="2">
        <f t="shared" si="111"/>
        <v>477.41520000000003</v>
      </c>
      <c r="X351" s="2" t="e">
        <f t="shared" ca="1" si="112"/>
        <v>#VALUE!</v>
      </c>
      <c r="Y351" s="2" t="e">
        <f t="shared" ca="1" si="113"/>
        <v>#VALUE!</v>
      </c>
      <c r="Z351" s="10">
        <f t="shared" si="114"/>
        <v>0.34476480144388133</v>
      </c>
      <c r="AA351" s="10" t="e">
        <f t="shared" ref="AA351:AA391" ca="1" si="126">1/((1+$Y$4/12)^B351)</f>
        <v>#VALUE!</v>
      </c>
      <c r="AB351" s="11" t="e">
        <f t="shared" si="115"/>
        <v>#VALUE!</v>
      </c>
      <c r="AC351" s="11" t="e">
        <f>SUM($S$31:S351)/$V$31</f>
        <v>#VALUE!</v>
      </c>
      <c r="AD351" s="11" t="e">
        <f>SUM($S$31:S351,$R$31:R351,$T$31:T351)/$V$31</f>
        <v>#VALUE!</v>
      </c>
      <c r="AE351" s="11" t="e">
        <f>SUM($M$31:M351)/$V$31</f>
        <v>#VALUE!</v>
      </c>
      <c r="AF351" s="11" t="e">
        <f ca="1">SUM(SUM($M$31:M351),-SUM($T$31:T351))/$V$31</f>
        <v>#VALUE!</v>
      </c>
      <c r="AG351">
        <f t="shared" ref="AG351:AG391" si="127">B351^2+B351</f>
        <v>102720</v>
      </c>
    </row>
    <row r="352" spans="2:33" x14ac:dyDescent="0.15">
      <c r="B352" s="1">
        <f t="shared" si="116"/>
        <v>321</v>
      </c>
      <c r="C352" s="1">
        <f t="shared" ref="C352:C391" si="128">B352+($E$4-$F$4)</f>
        <v>321</v>
      </c>
      <c r="D352" s="25">
        <v>3.5211105492170901E-2</v>
      </c>
      <c r="E352" s="2">
        <f t="shared" ref="E352:E391" si="129">J351</f>
        <v>17850.452292020105</v>
      </c>
      <c r="F352" s="3">
        <f t="shared" si="117"/>
        <v>0.04</v>
      </c>
      <c r="G352" s="2">
        <f t="shared" si="118"/>
        <v>477.4153</v>
      </c>
      <c r="H352" s="2">
        <f t="shared" si="119"/>
        <v>59.501507640067018</v>
      </c>
      <c r="I352" s="2">
        <f t="shared" si="120"/>
        <v>417.91379235993298</v>
      </c>
      <c r="J352" s="2">
        <f t="shared" ref="J352:J391" si="130">E352-I352</f>
        <v>17432.538499660172</v>
      </c>
      <c r="K352" s="2" t="e">
        <f t="shared" si="124"/>
        <v>#VALUE!</v>
      </c>
      <c r="L352" s="9">
        <v>1.6821425527395739E-3</v>
      </c>
      <c r="M352" s="2" t="e">
        <f t="shared" ref="M352:M391" si="131">L352*K352</f>
        <v>#VALUE!</v>
      </c>
      <c r="N352" s="3">
        <f t="shared" ref="N352:N391" si="132">F352</f>
        <v>0.04</v>
      </c>
      <c r="O352" s="2" t="e">
        <f t="shared" ref="O352:O391" si="133">(K352-M352)*N352/12</f>
        <v>#VALUE!</v>
      </c>
      <c r="P352" s="10">
        <f t="shared" si="125"/>
        <v>0.17432538499660172</v>
      </c>
      <c r="Q352" s="13"/>
      <c r="R352" s="2" t="e">
        <f t="shared" si="121"/>
        <v>#VALUE!</v>
      </c>
      <c r="S352" s="2" t="e">
        <f t="shared" si="122"/>
        <v>#VALUE!</v>
      </c>
      <c r="T352" s="2" t="e">
        <f t="shared" ref="T352:T391" ca="1" si="134">IF(B352&gt;=$S$4,OFFSET(M352,-$S$4,0)*$R$4,0)</f>
        <v>#VALUE!</v>
      </c>
      <c r="U352" s="2" t="e">
        <f t="shared" si="123"/>
        <v>#VALUE!</v>
      </c>
      <c r="V352" s="2" t="e">
        <f t="shared" ref="V352:V391" si="135">K352-M352-R352-S352</f>
        <v>#VALUE!</v>
      </c>
      <c r="W352" s="2">
        <f t="shared" ref="W352:W391" si="136">H352+I352</f>
        <v>477.4153</v>
      </c>
      <c r="X352" s="2" t="e">
        <f t="shared" ref="X352:X391" ca="1" si="137">S352+T352</f>
        <v>#VALUE!</v>
      </c>
      <c r="Y352" s="2" t="e">
        <f t="shared" ref="Y352:Y391" ca="1" si="138">O352+R352+S352+T352</f>
        <v>#VALUE!</v>
      </c>
      <c r="Z352" s="10">
        <f t="shared" ref="Z352:Z391" si="139">1/((1+$X$4/12)^B352)</f>
        <v>0.34361940343273295</v>
      </c>
      <c r="AA352" s="10" t="e">
        <f t="shared" ca="1" si="126"/>
        <v>#VALUE!</v>
      </c>
      <c r="AB352" s="11" t="e">
        <f t="shared" ref="AB352:AB391" si="140">V352/$V$31</f>
        <v>#VALUE!</v>
      </c>
      <c r="AC352" s="11" t="e">
        <f>SUM($S$31:S352)/$V$31</f>
        <v>#VALUE!</v>
      </c>
      <c r="AD352" s="11" t="e">
        <f>SUM($S$31:S352,$R$31:R352,$T$31:T352)/$V$31</f>
        <v>#VALUE!</v>
      </c>
      <c r="AE352" s="11" t="e">
        <f>SUM($M$31:M352)/$V$31</f>
        <v>#VALUE!</v>
      </c>
      <c r="AF352" s="11" t="e">
        <f ca="1">SUM(SUM($M$31:M352),-SUM($T$31:T352))/$V$31</f>
        <v>#VALUE!</v>
      </c>
      <c r="AG352">
        <f t="shared" si="127"/>
        <v>103362</v>
      </c>
    </row>
    <row r="353" spans="2:33" x14ac:dyDescent="0.15">
      <c r="B353" s="1">
        <f t="shared" ref="B353:B391" si="141">B352+1</f>
        <v>322</v>
      </c>
      <c r="C353" s="1">
        <f t="shared" si="128"/>
        <v>322</v>
      </c>
      <c r="D353" s="25">
        <v>3.51994810902184E-2</v>
      </c>
      <c r="E353" s="2">
        <f t="shared" si="129"/>
        <v>17432.538499660172</v>
      </c>
      <c r="F353" s="3">
        <f t="shared" ref="F353:F391" si="142">MIN(MAX(IF($G$4="Fixed",0,D353)+$H$4,F352-$J$4,$M$4),F352+$K$4,$L$4)</f>
        <v>0.04</v>
      </c>
      <c r="G353" s="2">
        <f t="shared" ref="G353:G391" si="143">IF(C353&lt;=$E$4,MIN(ROUND((E353*(F353/12)*(1+F353/12)^($E$4-C352))/((1+F353/12)^($E$4-C352)-1),4),E353+H353),0)</f>
        <v>477.41520000000003</v>
      </c>
      <c r="H353" s="2">
        <f t="shared" ref="H353:H391" si="144">F353/12*E353</f>
        <v>58.108461665533909</v>
      </c>
      <c r="I353" s="2">
        <f t="shared" ref="I353:I391" si="145">G353-H353</f>
        <v>419.3067383344661</v>
      </c>
      <c r="J353" s="2">
        <f t="shared" si="130"/>
        <v>17013.231761325704</v>
      </c>
      <c r="K353" s="2" t="e">
        <f t="shared" si="124"/>
        <v>#VALUE!</v>
      </c>
      <c r="L353" s="9">
        <v>1.6821425527395739E-3</v>
      </c>
      <c r="M353" s="2" t="e">
        <f t="shared" si="131"/>
        <v>#VALUE!</v>
      </c>
      <c r="N353" s="3">
        <f t="shared" si="132"/>
        <v>0.04</v>
      </c>
      <c r="O353" s="2" t="e">
        <f t="shared" si="133"/>
        <v>#VALUE!</v>
      </c>
      <c r="P353" s="10">
        <f t="shared" si="125"/>
        <v>0.17013231761325703</v>
      </c>
      <c r="Q353" s="13"/>
      <c r="R353" s="2" t="e">
        <f t="shared" ref="R353:R391" si="146">IF(C353&lt;=$E$4,(K353-M353)*P353/P352*Q353,0)</f>
        <v>#VALUE!</v>
      </c>
      <c r="S353" s="2" t="e">
        <f t="shared" ref="S353:S391" si="147">IF(C353&lt;=$E$4,(K353-M353)*(1-P353/P352),0)</f>
        <v>#VALUE!</v>
      </c>
      <c r="T353" s="2" t="e">
        <f t="shared" ca="1" si="134"/>
        <v>#VALUE!</v>
      </c>
      <c r="U353" s="2" t="e">
        <f t="shared" ref="U353:U391" si="148">R353+S353</f>
        <v>#VALUE!</v>
      </c>
      <c r="V353" s="2" t="e">
        <f t="shared" si="135"/>
        <v>#VALUE!</v>
      </c>
      <c r="W353" s="2">
        <f t="shared" si="136"/>
        <v>477.41520000000003</v>
      </c>
      <c r="X353" s="2" t="e">
        <f t="shared" ca="1" si="137"/>
        <v>#VALUE!</v>
      </c>
      <c r="Y353" s="2" t="e">
        <f t="shared" ca="1" si="138"/>
        <v>#VALUE!</v>
      </c>
      <c r="Z353" s="10">
        <f t="shared" si="139"/>
        <v>0.34247781073059064</v>
      </c>
      <c r="AA353" s="10" t="e">
        <f t="shared" ca="1" si="126"/>
        <v>#VALUE!</v>
      </c>
      <c r="AB353" s="11" t="e">
        <f t="shared" si="140"/>
        <v>#VALUE!</v>
      </c>
      <c r="AC353" s="11" t="e">
        <f>SUM($S$31:S353)/$V$31</f>
        <v>#VALUE!</v>
      </c>
      <c r="AD353" s="11" t="e">
        <f>SUM($S$31:S353,$R$31:R353,$T$31:T353)/$V$31</f>
        <v>#VALUE!</v>
      </c>
      <c r="AE353" s="11" t="e">
        <f>SUM($M$31:M353)/$V$31</f>
        <v>#VALUE!</v>
      </c>
      <c r="AF353" s="11" t="e">
        <f ca="1">SUM(SUM($M$31:M353),-SUM($T$31:T353))/$V$31</f>
        <v>#VALUE!</v>
      </c>
      <c r="AG353">
        <f t="shared" si="127"/>
        <v>104006</v>
      </c>
    </row>
    <row r="354" spans="2:33" x14ac:dyDescent="0.15">
      <c r="B354" s="1">
        <f t="shared" si="141"/>
        <v>323</v>
      </c>
      <c r="C354" s="1">
        <f t="shared" si="128"/>
        <v>323</v>
      </c>
      <c r="D354" s="25">
        <v>3.5190775060958301E-2</v>
      </c>
      <c r="E354" s="2">
        <f t="shared" si="129"/>
        <v>17013.231761325704</v>
      </c>
      <c r="F354" s="3">
        <f t="shared" si="142"/>
        <v>0.04</v>
      </c>
      <c r="G354" s="2">
        <f t="shared" si="143"/>
        <v>477.4153</v>
      </c>
      <c r="H354" s="2">
        <f t="shared" si="144"/>
        <v>56.710772537752348</v>
      </c>
      <c r="I354" s="2">
        <f t="shared" si="145"/>
        <v>420.70452746224765</v>
      </c>
      <c r="J354" s="2">
        <f t="shared" si="130"/>
        <v>16592.527233863457</v>
      </c>
      <c r="K354" s="2" t="e">
        <f t="shared" ref="K354:K391" si="149">V353</f>
        <v>#VALUE!</v>
      </c>
      <c r="L354" s="9">
        <v>1.6821425527395739E-3</v>
      </c>
      <c r="M354" s="2" t="e">
        <f t="shared" si="131"/>
        <v>#VALUE!</v>
      </c>
      <c r="N354" s="3">
        <f t="shared" si="132"/>
        <v>0.04</v>
      </c>
      <c r="O354" s="2" t="e">
        <f t="shared" si="133"/>
        <v>#VALUE!</v>
      </c>
      <c r="P354" s="10">
        <f t="shared" si="125"/>
        <v>0.16592527233863458</v>
      </c>
      <c r="Q354" s="13"/>
      <c r="R354" s="2" t="e">
        <f t="shared" si="146"/>
        <v>#VALUE!</v>
      </c>
      <c r="S354" s="2" t="e">
        <f t="shared" si="147"/>
        <v>#VALUE!</v>
      </c>
      <c r="T354" s="2" t="e">
        <f t="shared" ca="1" si="134"/>
        <v>#VALUE!</v>
      </c>
      <c r="U354" s="2" t="e">
        <f t="shared" si="148"/>
        <v>#VALUE!</v>
      </c>
      <c r="V354" s="2" t="e">
        <f t="shared" si="135"/>
        <v>#VALUE!</v>
      </c>
      <c r="W354" s="2">
        <f t="shared" si="136"/>
        <v>477.4153</v>
      </c>
      <c r="X354" s="2" t="e">
        <f t="shared" ca="1" si="137"/>
        <v>#VALUE!</v>
      </c>
      <c r="Y354" s="2" t="e">
        <f t="shared" ca="1" si="138"/>
        <v>#VALUE!</v>
      </c>
      <c r="Z354" s="10">
        <f t="shared" si="139"/>
        <v>0.34134001069523195</v>
      </c>
      <c r="AA354" s="10" t="e">
        <f t="shared" ca="1" si="126"/>
        <v>#VALUE!</v>
      </c>
      <c r="AB354" s="11" t="e">
        <f t="shared" si="140"/>
        <v>#VALUE!</v>
      </c>
      <c r="AC354" s="11" t="e">
        <f>SUM($S$31:S354)/$V$31</f>
        <v>#VALUE!</v>
      </c>
      <c r="AD354" s="11" t="e">
        <f>SUM($S$31:S354,$R$31:R354,$T$31:T354)/$V$31</f>
        <v>#VALUE!</v>
      </c>
      <c r="AE354" s="11" t="e">
        <f>SUM($M$31:M354)/$V$31</f>
        <v>#VALUE!</v>
      </c>
      <c r="AF354" s="11" t="e">
        <f ca="1">SUM(SUM($M$31:M354),-SUM($T$31:T354))/$V$31</f>
        <v>#VALUE!</v>
      </c>
      <c r="AG354">
        <f t="shared" si="127"/>
        <v>104652</v>
      </c>
    </row>
    <row r="355" spans="2:33" x14ac:dyDescent="0.15">
      <c r="B355" s="1">
        <f t="shared" si="141"/>
        <v>324</v>
      </c>
      <c r="C355" s="1">
        <f t="shared" si="128"/>
        <v>324</v>
      </c>
      <c r="D355" s="25">
        <v>3.5179588666287495E-2</v>
      </c>
      <c r="E355" s="2">
        <f t="shared" si="129"/>
        <v>16592.527233863457</v>
      </c>
      <c r="F355" s="3">
        <f t="shared" si="142"/>
        <v>0.04</v>
      </c>
      <c r="G355" s="2">
        <f t="shared" si="143"/>
        <v>477.41520000000003</v>
      </c>
      <c r="H355" s="2">
        <f t="shared" si="144"/>
        <v>55.308424112878193</v>
      </c>
      <c r="I355" s="2">
        <f t="shared" si="145"/>
        <v>422.10677588712184</v>
      </c>
      <c r="J355" s="2">
        <f t="shared" si="130"/>
        <v>16170.420457976335</v>
      </c>
      <c r="K355" s="2" t="e">
        <f t="shared" si="149"/>
        <v>#VALUE!</v>
      </c>
      <c r="L355" s="9">
        <v>1.6821425527395739E-3</v>
      </c>
      <c r="M355" s="2" t="e">
        <f t="shared" si="131"/>
        <v>#VALUE!</v>
      </c>
      <c r="N355" s="3">
        <f t="shared" si="132"/>
        <v>0.04</v>
      </c>
      <c r="O355" s="2" t="e">
        <f t="shared" si="133"/>
        <v>#VALUE!</v>
      </c>
      <c r="P355" s="10">
        <f t="shared" si="125"/>
        <v>0.16170420457976337</v>
      </c>
      <c r="Q355" s="13"/>
      <c r="R355" s="2" t="e">
        <f t="shared" si="146"/>
        <v>#VALUE!</v>
      </c>
      <c r="S355" s="2" t="e">
        <f t="shared" si="147"/>
        <v>#VALUE!</v>
      </c>
      <c r="T355" s="2" t="e">
        <f t="shared" ca="1" si="134"/>
        <v>#VALUE!</v>
      </c>
      <c r="U355" s="2" t="e">
        <f t="shared" si="148"/>
        <v>#VALUE!</v>
      </c>
      <c r="V355" s="2" t="e">
        <f t="shared" si="135"/>
        <v>#VALUE!</v>
      </c>
      <c r="W355" s="2">
        <f t="shared" si="136"/>
        <v>477.41520000000003</v>
      </c>
      <c r="X355" s="2" t="e">
        <f t="shared" ca="1" si="137"/>
        <v>#VALUE!</v>
      </c>
      <c r="Y355" s="2" t="e">
        <f t="shared" ca="1" si="138"/>
        <v>#VALUE!</v>
      </c>
      <c r="Z355" s="10">
        <f t="shared" si="139"/>
        <v>0.34020599072643498</v>
      </c>
      <c r="AA355" s="10" t="e">
        <f t="shared" ca="1" si="126"/>
        <v>#VALUE!</v>
      </c>
      <c r="AB355" s="11" t="e">
        <f t="shared" si="140"/>
        <v>#VALUE!</v>
      </c>
      <c r="AC355" s="11" t="e">
        <f>SUM($S$31:S355)/$V$31</f>
        <v>#VALUE!</v>
      </c>
      <c r="AD355" s="11" t="e">
        <f>SUM($S$31:S355,$R$31:R355,$T$31:T355)/$V$31</f>
        <v>#VALUE!</v>
      </c>
      <c r="AE355" s="11" t="e">
        <f>SUM($M$31:M355)/$V$31</f>
        <v>#VALUE!</v>
      </c>
      <c r="AF355" s="11" t="e">
        <f ca="1">SUM(SUM($M$31:M355),-SUM($T$31:T355))/$V$31</f>
        <v>#VALUE!</v>
      </c>
      <c r="AG355">
        <f t="shared" si="127"/>
        <v>105300</v>
      </c>
    </row>
    <row r="356" spans="2:33" x14ac:dyDescent="0.15">
      <c r="B356" s="1">
        <f t="shared" si="141"/>
        <v>325</v>
      </c>
      <c r="C356" s="1">
        <f t="shared" si="128"/>
        <v>325</v>
      </c>
      <c r="D356" s="25">
        <v>3.5164745520372999E-2</v>
      </c>
      <c r="E356" s="2">
        <f t="shared" si="129"/>
        <v>16170.420457976335</v>
      </c>
      <c r="F356" s="3">
        <f t="shared" si="142"/>
        <v>0.04</v>
      </c>
      <c r="G356" s="2">
        <f t="shared" si="143"/>
        <v>477.4153</v>
      </c>
      <c r="H356" s="2">
        <f t="shared" si="144"/>
        <v>53.90140152658779</v>
      </c>
      <c r="I356" s="2">
        <f t="shared" si="145"/>
        <v>423.51389847341221</v>
      </c>
      <c r="J356" s="2">
        <f t="shared" si="130"/>
        <v>15746.906559502922</v>
      </c>
      <c r="K356" s="2" t="e">
        <f t="shared" si="149"/>
        <v>#VALUE!</v>
      </c>
      <c r="L356" s="9">
        <v>1.6821425527395739E-3</v>
      </c>
      <c r="M356" s="2" t="e">
        <f t="shared" si="131"/>
        <v>#VALUE!</v>
      </c>
      <c r="N356" s="3">
        <f t="shared" si="132"/>
        <v>0.04</v>
      </c>
      <c r="O356" s="2" t="e">
        <f t="shared" si="133"/>
        <v>#VALUE!</v>
      </c>
      <c r="P356" s="10">
        <f t="shared" si="125"/>
        <v>0.15746906559502921</v>
      </c>
      <c r="Q356" s="13"/>
      <c r="R356" s="2" t="e">
        <f t="shared" si="146"/>
        <v>#VALUE!</v>
      </c>
      <c r="S356" s="2" t="e">
        <f t="shared" si="147"/>
        <v>#VALUE!</v>
      </c>
      <c r="T356" s="2" t="e">
        <f t="shared" ca="1" si="134"/>
        <v>#VALUE!</v>
      </c>
      <c r="U356" s="2" t="e">
        <f t="shared" si="148"/>
        <v>#VALUE!</v>
      </c>
      <c r="V356" s="2" t="e">
        <f t="shared" si="135"/>
        <v>#VALUE!</v>
      </c>
      <c r="W356" s="2">
        <f t="shared" si="136"/>
        <v>477.4153</v>
      </c>
      <c r="X356" s="2" t="e">
        <f t="shared" ca="1" si="137"/>
        <v>#VALUE!</v>
      </c>
      <c r="Y356" s="2" t="e">
        <f t="shared" ca="1" si="138"/>
        <v>#VALUE!</v>
      </c>
      <c r="Z356" s="10">
        <f t="shared" si="139"/>
        <v>0.33907573826583903</v>
      </c>
      <c r="AA356" s="10" t="e">
        <f t="shared" ca="1" si="126"/>
        <v>#VALUE!</v>
      </c>
      <c r="AB356" s="11" t="e">
        <f t="shared" si="140"/>
        <v>#VALUE!</v>
      </c>
      <c r="AC356" s="11" t="e">
        <f>SUM($S$31:S356)/$V$31</f>
        <v>#VALUE!</v>
      </c>
      <c r="AD356" s="11" t="e">
        <f>SUM($S$31:S356,$R$31:R356,$T$31:T356)/$V$31</f>
        <v>#VALUE!</v>
      </c>
      <c r="AE356" s="11" t="e">
        <f>SUM($M$31:M356)/$V$31</f>
        <v>#VALUE!</v>
      </c>
      <c r="AF356" s="11" t="e">
        <f ca="1">SUM(SUM($M$31:M356),-SUM($T$31:T356))/$V$31</f>
        <v>#VALUE!</v>
      </c>
      <c r="AG356">
        <f t="shared" si="127"/>
        <v>105950</v>
      </c>
    </row>
    <row r="357" spans="2:33" x14ac:dyDescent="0.15">
      <c r="B357" s="1">
        <f t="shared" si="141"/>
        <v>326</v>
      </c>
      <c r="C357" s="1">
        <f t="shared" si="128"/>
        <v>326</v>
      </c>
      <c r="D357" s="25">
        <v>3.51563016241489E-2</v>
      </c>
      <c r="E357" s="2">
        <f t="shared" si="129"/>
        <v>15746.906559502922</v>
      </c>
      <c r="F357" s="3">
        <f t="shared" si="142"/>
        <v>0.04</v>
      </c>
      <c r="G357" s="2">
        <f t="shared" si="143"/>
        <v>477.41520000000003</v>
      </c>
      <c r="H357" s="2">
        <f t="shared" si="144"/>
        <v>52.489688531676414</v>
      </c>
      <c r="I357" s="2">
        <f t="shared" si="145"/>
        <v>424.92551146832363</v>
      </c>
      <c r="J357" s="2">
        <f t="shared" si="130"/>
        <v>15321.981048034599</v>
      </c>
      <c r="K357" s="2" t="e">
        <f t="shared" si="149"/>
        <v>#VALUE!</v>
      </c>
      <c r="L357" s="9">
        <v>1.6821425527395739E-3</v>
      </c>
      <c r="M357" s="2" t="e">
        <f t="shared" si="131"/>
        <v>#VALUE!</v>
      </c>
      <c r="N357" s="3">
        <f t="shared" si="132"/>
        <v>0.04</v>
      </c>
      <c r="O357" s="2" t="e">
        <f t="shared" si="133"/>
        <v>#VALUE!</v>
      </c>
      <c r="P357" s="10">
        <f t="shared" si="125"/>
        <v>0.153219810480346</v>
      </c>
      <c r="Q357" s="13"/>
      <c r="R357" s="2" t="e">
        <f t="shared" si="146"/>
        <v>#VALUE!</v>
      </c>
      <c r="S357" s="2" t="e">
        <f t="shared" si="147"/>
        <v>#VALUE!</v>
      </c>
      <c r="T357" s="2" t="e">
        <f t="shared" ca="1" si="134"/>
        <v>#VALUE!</v>
      </c>
      <c r="U357" s="2" t="e">
        <f t="shared" si="148"/>
        <v>#VALUE!</v>
      </c>
      <c r="V357" s="2" t="e">
        <f t="shared" si="135"/>
        <v>#VALUE!</v>
      </c>
      <c r="W357" s="2">
        <f t="shared" si="136"/>
        <v>477.41520000000003</v>
      </c>
      <c r="X357" s="2" t="e">
        <f t="shared" ca="1" si="137"/>
        <v>#VALUE!</v>
      </c>
      <c r="Y357" s="2" t="e">
        <f t="shared" ca="1" si="138"/>
        <v>#VALUE!</v>
      </c>
      <c r="Z357" s="10">
        <f t="shared" si="139"/>
        <v>0.33794924079680544</v>
      </c>
      <c r="AA357" s="10" t="e">
        <f t="shared" ca="1" si="126"/>
        <v>#VALUE!</v>
      </c>
      <c r="AB357" s="11" t="e">
        <f t="shared" si="140"/>
        <v>#VALUE!</v>
      </c>
      <c r="AC357" s="11" t="e">
        <f>SUM($S$31:S357)/$V$31</f>
        <v>#VALUE!</v>
      </c>
      <c r="AD357" s="11" t="e">
        <f>SUM($S$31:S357,$R$31:R357,$T$31:T357)/$V$31</f>
        <v>#VALUE!</v>
      </c>
      <c r="AE357" s="11" t="e">
        <f>SUM($M$31:M357)/$V$31</f>
        <v>#VALUE!</v>
      </c>
      <c r="AF357" s="11" t="e">
        <f ca="1">SUM(SUM($M$31:M357),-SUM($T$31:T357))/$V$31</f>
        <v>#VALUE!</v>
      </c>
      <c r="AG357">
        <f t="shared" si="127"/>
        <v>106602</v>
      </c>
    </row>
    <row r="358" spans="2:33" x14ac:dyDescent="0.15">
      <c r="B358" s="1">
        <f t="shared" si="141"/>
        <v>327</v>
      </c>
      <c r="C358" s="1">
        <f t="shared" si="128"/>
        <v>327</v>
      </c>
      <c r="D358" s="25">
        <v>3.51419047413438E-2</v>
      </c>
      <c r="E358" s="2">
        <f t="shared" si="129"/>
        <v>15321.981048034599</v>
      </c>
      <c r="F358" s="3">
        <f t="shared" si="142"/>
        <v>0.04</v>
      </c>
      <c r="G358" s="2">
        <f t="shared" si="143"/>
        <v>477.4153</v>
      </c>
      <c r="H358" s="2">
        <f t="shared" si="144"/>
        <v>51.073270160115335</v>
      </c>
      <c r="I358" s="2">
        <f t="shared" si="145"/>
        <v>426.34202983988467</v>
      </c>
      <c r="J358" s="2">
        <f t="shared" si="130"/>
        <v>14895.639018194714</v>
      </c>
      <c r="K358" s="2" t="e">
        <f t="shared" si="149"/>
        <v>#VALUE!</v>
      </c>
      <c r="L358" s="9">
        <v>1.6821425527395739E-3</v>
      </c>
      <c r="M358" s="2" t="e">
        <f t="shared" si="131"/>
        <v>#VALUE!</v>
      </c>
      <c r="N358" s="3">
        <f t="shared" si="132"/>
        <v>0.04</v>
      </c>
      <c r="O358" s="2" t="e">
        <f t="shared" si="133"/>
        <v>#VALUE!</v>
      </c>
      <c r="P358" s="10">
        <f t="shared" si="125"/>
        <v>0.14895639018194715</v>
      </c>
      <c r="Q358" s="13"/>
      <c r="R358" s="2" t="e">
        <f t="shared" si="146"/>
        <v>#VALUE!</v>
      </c>
      <c r="S358" s="2" t="e">
        <f t="shared" si="147"/>
        <v>#VALUE!</v>
      </c>
      <c r="T358" s="2" t="e">
        <f t="shared" ca="1" si="134"/>
        <v>#VALUE!</v>
      </c>
      <c r="U358" s="2" t="e">
        <f t="shared" si="148"/>
        <v>#VALUE!</v>
      </c>
      <c r="V358" s="2" t="e">
        <f t="shared" si="135"/>
        <v>#VALUE!</v>
      </c>
      <c r="W358" s="2">
        <f t="shared" si="136"/>
        <v>477.4153</v>
      </c>
      <c r="X358" s="2" t="e">
        <f t="shared" ca="1" si="137"/>
        <v>#VALUE!</v>
      </c>
      <c r="Y358" s="2" t="e">
        <f t="shared" ca="1" si="138"/>
        <v>#VALUE!</v>
      </c>
      <c r="Z358" s="10">
        <f t="shared" si="139"/>
        <v>0.33682648584427938</v>
      </c>
      <c r="AA358" s="10" t="e">
        <f t="shared" ca="1" si="126"/>
        <v>#VALUE!</v>
      </c>
      <c r="AB358" s="11" t="e">
        <f t="shared" si="140"/>
        <v>#VALUE!</v>
      </c>
      <c r="AC358" s="11" t="e">
        <f>SUM($S$31:S358)/$V$31</f>
        <v>#VALUE!</v>
      </c>
      <c r="AD358" s="11" t="e">
        <f>SUM($S$31:S358,$R$31:R358,$T$31:T358)/$V$31</f>
        <v>#VALUE!</v>
      </c>
      <c r="AE358" s="11" t="e">
        <f>SUM($M$31:M358)/$V$31</f>
        <v>#VALUE!</v>
      </c>
      <c r="AF358" s="11" t="e">
        <f ca="1">SUM(SUM($M$31:M358),-SUM($T$31:T358))/$V$31</f>
        <v>#VALUE!</v>
      </c>
      <c r="AG358">
        <f t="shared" si="127"/>
        <v>107256</v>
      </c>
    </row>
    <row r="359" spans="2:33" x14ac:dyDescent="0.15">
      <c r="B359" s="1">
        <f t="shared" si="141"/>
        <v>328</v>
      </c>
      <c r="C359" s="1">
        <f t="shared" si="128"/>
        <v>328</v>
      </c>
      <c r="D359" s="25">
        <v>3.5130414939546599E-2</v>
      </c>
      <c r="E359" s="2">
        <f t="shared" si="129"/>
        <v>14895.639018194714</v>
      </c>
      <c r="F359" s="3">
        <f t="shared" si="142"/>
        <v>0.04</v>
      </c>
      <c r="G359" s="2">
        <f t="shared" si="143"/>
        <v>477.41520000000003</v>
      </c>
      <c r="H359" s="2">
        <f t="shared" si="144"/>
        <v>49.65213006064905</v>
      </c>
      <c r="I359" s="2">
        <f t="shared" si="145"/>
        <v>427.763069939351</v>
      </c>
      <c r="J359" s="2">
        <f t="shared" si="130"/>
        <v>14467.875948255363</v>
      </c>
      <c r="K359" s="2" t="e">
        <f t="shared" si="149"/>
        <v>#VALUE!</v>
      </c>
      <c r="L359" s="9">
        <v>1.6821425527395739E-3</v>
      </c>
      <c r="M359" s="2" t="e">
        <f t="shared" si="131"/>
        <v>#VALUE!</v>
      </c>
      <c r="N359" s="3">
        <f t="shared" si="132"/>
        <v>0.04</v>
      </c>
      <c r="O359" s="2" t="e">
        <f t="shared" si="133"/>
        <v>#VALUE!</v>
      </c>
      <c r="P359" s="10">
        <f t="shared" si="125"/>
        <v>0.14467875948255363</v>
      </c>
      <c r="Q359" s="13"/>
      <c r="R359" s="2" t="e">
        <f t="shared" si="146"/>
        <v>#VALUE!</v>
      </c>
      <c r="S359" s="2" t="e">
        <f t="shared" si="147"/>
        <v>#VALUE!</v>
      </c>
      <c r="T359" s="2" t="e">
        <f t="shared" ca="1" si="134"/>
        <v>#VALUE!</v>
      </c>
      <c r="U359" s="2" t="e">
        <f t="shared" si="148"/>
        <v>#VALUE!</v>
      </c>
      <c r="V359" s="2" t="e">
        <f t="shared" si="135"/>
        <v>#VALUE!</v>
      </c>
      <c r="W359" s="2">
        <f t="shared" si="136"/>
        <v>477.41520000000003</v>
      </c>
      <c r="X359" s="2" t="e">
        <f t="shared" ca="1" si="137"/>
        <v>#VALUE!</v>
      </c>
      <c r="Y359" s="2" t="e">
        <f t="shared" ca="1" si="138"/>
        <v>#VALUE!</v>
      </c>
      <c r="Z359" s="10">
        <f t="shared" si="139"/>
        <v>0.33570746097465115</v>
      </c>
      <c r="AA359" s="10" t="e">
        <f t="shared" ca="1" si="126"/>
        <v>#VALUE!</v>
      </c>
      <c r="AB359" s="11" t="e">
        <f t="shared" si="140"/>
        <v>#VALUE!</v>
      </c>
      <c r="AC359" s="11" t="e">
        <f>SUM($S$31:S359)/$V$31</f>
        <v>#VALUE!</v>
      </c>
      <c r="AD359" s="11" t="e">
        <f>SUM($S$31:S359,$R$31:R359,$T$31:T359)/$V$31</f>
        <v>#VALUE!</v>
      </c>
      <c r="AE359" s="11" t="e">
        <f>SUM($M$31:M359)/$V$31</f>
        <v>#VALUE!</v>
      </c>
      <c r="AF359" s="11" t="e">
        <f ca="1">SUM(SUM($M$31:M359),-SUM($T$31:T359))/$V$31</f>
        <v>#VALUE!</v>
      </c>
      <c r="AG359">
        <f t="shared" si="127"/>
        <v>107912</v>
      </c>
    </row>
    <row r="360" spans="2:33" x14ac:dyDescent="0.15">
      <c r="B360" s="1">
        <f t="shared" si="141"/>
        <v>329</v>
      </c>
      <c r="C360" s="1">
        <f t="shared" si="128"/>
        <v>329</v>
      </c>
      <c r="D360" s="25">
        <v>3.5114905807365003E-2</v>
      </c>
      <c r="E360" s="2">
        <f t="shared" si="129"/>
        <v>14467.875948255363</v>
      </c>
      <c r="F360" s="3">
        <f t="shared" si="142"/>
        <v>0.04</v>
      </c>
      <c r="G360" s="2">
        <f t="shared" si="143"/>
        <v>477.4153</v>
      </c>
      <c r="H360" s="2">
        <f t="shared" si="144"/>
        <v>48.226253160851215</v>
      </c>
      <c r="I360" s="2">
        <f t="shared" si="145"/>
        <v>429.18904683914877</v>
      </c>
      <c r="J360" s="2">
        <f t="shared" si="130"/>
        <v>14038.686901416215</v>
      </c>
      <c r="K360" s="2" t="e">
        <f t="shared" si="149"/>
        <v>#VALUE!</v>
      </c>
      <c r="L360" s="9">
        <v>1.6821425527395739E-3</v>
      </c>
      <c r="M360" s="2" t="e">
        <f t="shared" si="131"/>
        <v>#VALUE!</v>
      </c>
      <c r="N360" s="3">
        <f t="shared" si="132"/>
        <v>0.04</v>
      </c>
      <c r="O360" s="2" t="e">
        <f t="shared" si="133"/>
        <v>#VALUE!</v>
      </c>
      <c r="P360" s="10">
        <f t="shared" si="125"/>
        <v>0.14038686901416214</v>
      </c>
      <c r="Q360" s="13"/>
      <c r="R360" s="2" t="e">
        <f t="shared" si="146"/>
        <v>#VALUE!</v>
      </c>
      <c r="S360" s="2" t="e">
        <f t="shared" si="147"/>
        <v>#VALUE!</v>
      </c>
      <c r="T360" s="2" t="e">
        <f t="shared" ca="1" si="134"/>
        <v>#VALUE!</v>
      </c>
      <c r="U360" s="2" t="e">
        <f t="shared" si="148"/>
        <v>#VALUE!</v>
      </c>
      <c r="V360" s="2" t="e">
        <f t="shared" si="135"/>
        <v>#VALUE!</v>
      </c>
      <c r="W360" s="2">
        <f t="shared" si="136"/>
        <v>477.4153</v>
      </c>
      <c r="X360" s="2" t="e">
        <f t="shared" ca="1" si="137"/>
        <v>#VALUE!</v>
      </c>
      <c r="Y360" s="2" t="e">
        <f t="shared" ca="1" si="138"/>
        <v>#VALUE!</v>
      </c>
      <c r="Z360" s="10">
        <f t="shared" si="139"/>
        <v>0.33459215379561874</v>
      </c>
      <c r="AA360" s="10" t="e">
        <f t="shared" ca="1" si="126"/>
        <v>#VALUE!</v>
      </c>
      <c r="AB360" s="11" t="e">
        <f t="shared" si="140"/>
        <v>#VALUE!</v>
      </c>
      <c r="AC360" s="11" t="e">
        <f>SUM($S$31:S360)/$V$31</f>
        <v>#VALUE!</v>
      </c>
      <c r="AD360" s="11" t="e">
        <f>SUM($S$31:S360,$R$31:R360,$T$31:T360)/$V$31</f>
        <v>#VALUE!</v>
      </c>
      <c r="AE360" s="11" t="e">
        <f>SUM($M$31:M360)/$V$31</f>
        <v>#VALUE!</v>
      </c>
      <c r="AF360" s="11" t="e">
        <f ca="1">SUM(SUM($M$31:M360),-SUM($T$31:T360))/$V$31</f>
        <v>#VALUE!</v>
      </c>
      <c r="AG360">
        <f t="shared" si="127"/>
        <v>108570</v>
      </c>
    </row>
    <row r="361" spans="2:33" x14ac:dyDescent="0.15">
      <c r="B361" s="1">
        <f t="shared" si="141"/>
        <v>330</v>
      </c>
      <c r="C361" s="1">
        <f t="shared" si="128"/>
        <v>330</v>
      </c>
      <c r="D361" s="25">
        <v>3.5102298467571097E-2</v>
      </c>
      <c r="E361" s="2">
        <f t="shared" si="129"/>
        <v>14038.686901416215</v>
      </c>
      <c r="F361" s="3">
        <f t="shared" si="142"/>
        <v>0.04</v>
      </c>
      <c r="G361" s="2">
        <f t="shared" si="143"/>
        <v>477.41520000000003</v>
      </c>
      <c r="H361" s="2">
        <f t="shared" si="144"/>
        <v>46.795623004720717</v>
      </c>
      <c r="I361" s="2">
        <f t="shared" si="145"/>
        <v>430.61957699527932</v>
      </c>
      <c r="J361" s="2">
        <f t="shared" si="130"/>
        <v>13608.067324420936</v>
      </c>
      <c r="K361" s="2" t="e">
        <f t="shared" si="149"/>
        <v>#VALUE!</v>
      </c>
      <c r="L361" s="9">
        <v>1.6821425527395739E-3</v>
      </c>
      <c r="M361" s="2" t="e">
        <f t="shared" si="131"/>
        <v>#VALUE!</v>
      </c>
      <c r="N361" s="3">
        <f t="shared" si="132"/>
        <v>0.04</v>
      </c>
      <c r="O361" s="2" t="e">
        <f t="shared" si="133"/>
        <v>#VALUE!</v>
      </c>
      <c r="P361" s="10">
        <f t="shared" si="125"/>
        <v>0.13608067324420936</v>
      </c>
      <c r="Q361" s="13"/>
      <c r="R361" s="2" t="e">
        <f t="shared" si="146"/>
        <v>#VALUE!</v>
      </c>
      <c r="S361" s="2" t="e">
        <f t="shared" si="147"/>
        <v>#VALUE!</v>
      </c>
      <c r="T361" s="2" t="e">
        <f t="shared" ca="1" si="134"/>
        <v>#VALUE!</v>
      </c>
      <c r="U361" s="2" t="e">
        <f t="shared" si="148"/>
        <v>#VALUE!</v>
      </c>
      <c r="V361" s="2" t="e">
        <f t="shared" si="135"/>
        <v>#VALUE!</v>
      </c>
      <c r="W361" s="2">
        <f t="shared" si="136"/>
        <v>477.41520000000003</v>
      </c>
      <c r="X361" s="2" t="e">
        <f t="shared" ca="1" si="137"/>
        <v>#VALUE!</v>
      </c>
      <c r="Y361" s="2" t="e">
        <f t="shared" ca="1" si="138"/>
        <v>#VALUE!</v>
      </c>
      <c r="Z361" s="10">
        <f t="shared" si="139"/>
        <v>0.33348055195605053</v>
      </c>
      <c r="AA361" s="10" t="e">
        <f t="shared" ca="1" si="126"/>
        <v>#VALUE!</v>
      </c>
      <c r="AB361" s="11" t="e">
        <f t="shared" si="140"/>
        <v>#VALUE!</v>
      </c>
      <c r="AC361" s="11" t="e">
        <f>SUM($S$31:S361)/$V$31</f>
        <v>#VALUE!</v>
      </c>
      <c r="AD361" s="11" t="e">
        <f>SUM($S$31:S361,$R$31:R361,$T$31:T361)/$V$31</f>
        <v>#VALUE!</v>
      </c>
      <c r="AE361" s="11" t="e">
        <f>SUM($M$31:M361)/$V$31</f>
        <v>#VALUE!</v>
      </c>
      <c r="AF361" s="11" t="e">
        <f ca="1">SUM(SUM($M$31:M361),-SUM($T$31:T361))/$V$31</f>
        <v>#VALUE!</v>
      </c>
      <c r="AG361">
        <f t="shared" si="127"/>
        <v>109230</v>
      </c>
    </row>
    <row r="362" spans="2:33" x14ac:dyDescent="0.15">
      <c r="B362" s="1">
        <f t="shared" si="141"/>
        <v>331</v>
      </c>
      <c r="C362" s="1">
        <f t="shared" si="128"/>
        <v>331</v>
      </c>
      <c r="D362" s="25">
        <v>3.5087155251707303E-2</v>
      </c>
      <c r="E362" s="2">
        <f t="shared" si="129"/>
        <v>13608.067324420936</v>
      </c>
      <c r="F362" s="3">
        <f t="shared" si="142"/>
        <v>0.04</v>
      </c>
      <c r="G362" s="2">
        <f t="shared" si="143"/>
        <v>477.4153</v>
      </c>
      <c r="H362" s="2">
        <f t="shared" si="144"/>
        <v>45.360224414736457</v>
      </c>
      <c r="I362" s="2">
        <f t="shared" si="145"/>
        <v>432.05507558526352</v>
      </c>
      <c r="J362" s="2">
        <f t="shared" si="130"/>
        <v>13176.012248835672</v>
      </c>
      <c r="K362" s="2" t="e">
        <f t="shared" si="149"/>
        <v>#VALUE!</v>
      </c>
      <c r="L362" s="9">
        <v>1.6821425527395739E-3</v>
      </c>
      <c r="M362" s="2" t="e">
        <f t="shared" si="131"/>
        <v>#VALUE!</v>
      </c>
      <c r="N362" s="3">
        <f t="shared" si="132"/>
        <v>0.04</v>
      </c>
      <c r="O362" s="2" t="e">
        <f t="shared" si="133"/>
        <v>#VALUE!</v>
      </c>
      <c r="P362" s="10">
        <f t="shared" si="125"/>
        <v>0.13176012248835672</v>
      </c>
      <c r="Q362" s="13"/>
      <c r="R362" s="2" t="e">
        <f t="shared" si="146"/>
        <v>#VALUE!</v>
      </c>
      <c r="S362" s="2" t="e">
        <f t="shared" si="147"/>
        <v>#VALUE!</v>
      </c>
      <c r="T362" s="2" t="e">
        <f t="shared" ca="1" si="134"/>
        <v>#VALUE!</v>
      </c>
      <c r="U362" s="2" t="e">
        <f t="shared" si="148"/>
        <v>#VALUE!</v>
      </c>
      <c r="V362" s="2" t="e">
        <f t="shared" si="135"/>
        <v>#VALUE!</v>
      </c>
      <c r="W362" s="2">
        <f t="shared" si="136"/>
        <v>477.4153</v>
      </c>
      <c r="X362" s="2" t="e">
        <f t="shared" ca="1" si="137"/>
        <v>#VALUE!</v>
      </c>
      <c r="Y362" s="2" t="e">
        <f t="shared" ca="1" si="138"/>
        <v>#VALUE!</v>
      </c>
      <c r="Z362" s="10">
        <f t="shared" si="139"/>
        <v>0.33237264314584891</v>
      </c>
      <c r="AA362" s="10" t="e">
        <f t="shared" ca="1" si="126"/>
        <v>#VALUE!</v>
      </c>
      <c r="AB362" s="11" t="e">
        <f t="shared" si="140"/>
        <v>#VALUE!</v>
      </c>
      <c r="AC362" s="11" t="e">
        <f>SUM($S$31:S362)/$V$31</f>
        <v>#VALUE!</v>
      </c>
      <c r="AD362" s="11" t="e">
        <f>SUM($S$31:S362,$R$31:R362,$T$31:T362)/$V$31</f>
        <v>#VALUE!</v>
      </c>
      <c r="AE362" s="11" t="e">
        <f>SUM($M$31:M362)/$V$31</f>
        <v>#VALUE!</v>
      </c>
      <c r="AF362" s="11" t="e">
        <f ca="1">SUM(SUM($M$31:M362),-SUM($T$31:T362))/$V$31</f>
        <v>#VALUE!</v>
      </c>
      <c r="AG362">
        <f t="shared" si="127"/>
        <v>109892</v>
      </c>
    </row>
    <row r="363" spans="2:33" x14ac:dyDescent="0.15">
      <c r="B363" s="1">
        <f t="shared" si="141"/>
        <v>332</v>
      </c>
      <c r="C363" s="1">
        <f t="shared" si="128"/>
        <v>332</v>
      </c>
      <c r="D363" s="25">
        <v>3.5069969052684599E-2</v>
      </c>
      <c r="E363" s="2">
        <f t="shared" si="129"/>
        <v>13176.012248835672</v>
      </c>
      <c r="F363" s="3">
        <f t="shared" si="142"/>
        <v>0.04</v>
      </c>
      <c r="G363" s="2">
        <f t="shared" si="143"/>
        <v>477.41520000000003</v>
      </c>
      <c r="H363" s="2">
        <f t="shared" si="144"/>
        <v>43.92004082945224</v>
      </c>
      <c r="I363" s="2">
        <f t="shared" si="145"/>
        <v>433.49515917054777</v>
      </c>
      <c r="J363" s="2">
        <f t="shared" si="130"/>
        <v>12742.517089665123</v>
      </c>
      <c r="K363" s="2" t="e">
        <f t="shared" si="149"/>
        <v>#VALUE!</v>
      </c>
      <c r="L363" s="9">
        <v>1.6821425527395739E-3</v>
      </c>
      <c r="M363" s="2" t="e">
        <f t="shared" si="131"/>
        <v>#VALUE!</v>
      </c>
      <c r="N363" s="3">
        <f t="shared" si="132"/>
        <v>0.04</v>
      </c>
      <c r="O363" s="2" t="e">
        <f t="shared" si="133"/>
        <v>#VALUE!</v>
      </c>
      <c r="P363" s="10">
        <f t="shared" si="125"/>
        <v>0.12742517089665123</v>
      </c>
      <c r="Q363" s="13"/>
      <c r="R363" s="2" t="e">
        <f t="shared" si="146"/>
        <v>#VALUE!</v>
      </c>
      <c r="S363" s="2" t="e">
        <f t="shared" si="147"/>
        <v>#VALUE!</v>
      </c>
      <c r="T363" s="2" t="e">
        <f t="shared" ca="1" si="134"/>
        <v>#VALUE!</v>
      </c>
      <c r="U363" s="2" t="e">
        <f t="shared" si="148"/>
        <v>#VALUE!</v>
      </c>
      <c r="V363" s="2" t="e">
        <f t="shared" si="135"/>
        <v>#VALUE!</v>
      </c>
      <c r="W363" s="2">
        <f t="shared" si="136"/>
        <v>477.41520000000003</v>
      </c>
      <c r="X363" s="2" t="e">
        <f t="shared" ca="1" si="137"/>
        <v>#VALUE!</v>
      </c>
      <c r="Y363" s="2" t="e">
        <f t="shared" ca="1" si="138"/>
        <v>#VALUE!</v>
      </c>
      <c r="Z363" s="10">
        <f t="shared" si="139"/>
        <v>0.3312684150958129</v>
      </c>
      <c r="AA363" s="10" t="e">
        <f t="shared" ca="1" si="126"/>
        <v>#VALUE!</v>
      </c>
      <c r="AB363" s="11" t="e">
        <f t="shared" si="140"/>
        <v>#VALUE!</v>
      </c>
      <c r="AC363" s="11" t="e">
        <f>SUM($S$31:S363)/$V$31</f>
        <v>#VALUE!</v>
      </c>
      <c r="AD363" s="11" t="e">
        <f>SUM($S$31:S363,$R$31:R363,$T$31:T363)/$V$31</f>
        <v>#VALUE!</v>
      </c>
      <c r="AE363" s="11" t="e">
        <f>SUM($M$31:M363)/$V$31</f>
        <v>#VALUE!</v>
      </c>
      <c r="AF363" s="11" t="e">
        <f ca="1">SUM(SUM($M$31:M363),-SUM($T$31:T363))/$V$31</f>
        <v>#VALUE!</v>
      </c>
      <c r="AG363">
        <f t="shared" si="127"/>
        <v>110556</v>
      </c>
    </row>
    <row r="364" spans="2:33" x14ac:dyDescent="0.15">
      <c r="B364" s="1">
        <f t="shared" si="141"/>
        <v>333</v>
      </c>
      <c r="C364" s="1">
        <f t="shared" si="128"/>
        <v>333</v>
      </c>
      <c r="D364" s="25">
        <v>3.5055675852679699E-2</v>
      </c>
      <c r="E364" s="2">
        <f t="shared" si="129"/>
        <v>12742.517089665123</v>
      </c>
      <c r="F364" s="3">
        <f t="shared" si="142"/>
        <v>0.04</v>
      </c>
      <c r="G364" s="2">
        <f t="shared" si="143"/>
        <v>477.4153</v>
      </c>
      <c r="H364" s="2">
        <f t="shared" si="144"/>
        <v>42.475056965550415</v>
      </c>
      <c r="I364" s="2">
        <f t="shared" si="145"/>
        <v>434.94024303444957</v>
      </c>
      <c r="J364" s="2">
        <f t="shared" si="130"/>
        <v>12307.576846630674</v>
      </c>
      <c r="K364" s="2" t="e">
        <f t="shared" si="149"/>
        <v>#VALUE!</v>
      </c>
      <c r="L364" s="9">
        <v>1.6821425527395739E-3</v>
      </c>
      <c r="M364" s="2" t="e">
        <f t="shared" si="131"/>
        <v>#VALUE!</v>
      </c>
      <c r="N364" s="3">
        <f t="shared" si="132"/>
        <v>0.04</v>
      </c>
      <c r="O364" s="2" t="e">
        <f t="shared" si="133"/>
        <v>#VALUE!</v>
      </c>
      <c r="P364" s="10">
        <f t="shared" si="125"/>
        <v>0.12307576846630675</v>
      </c>
      <c r="Q364" s="13"/>
      <c r="R364" s="2" t="e">
        <f t="shared" si="146"/>
        <v>#VALUE!</v>
      </c>
      <c r="S364" s="2" t="e">
        <f t="shared" si="147"/>
        <v>#VALUE!</v>
      </c>
      <c r="T364" s="2" t="e">
        <f t="shared" ca="1" si="134"/>
        <v>#VALUE!</v>
      </c>
      <c r="U364" s="2" t="e">
        <f t="shared" si="148"/>
        <v>#VALUE!</v>
      </c>
      <c r="V364" s="2" t="e">
        <f t="shared" si="135"/>
        <v>#VALUE!</v>
      </c>
      <c r="W364" s="2">
        <f t="shared" si="136"/>
        <v>477.4153</v>
      </c>
      <c r="X364" s="2" t="e">
        <f t="shared" ca="1" si="137"/>
        <v>#VALUE!</v>
      </c>
      <c r="Y364" s="2" t="e">
        <f t="shared" ca="1" si="138"/>
        <v>#VALUE!</v>
      </c>
      <c r="Z364" s="10">
        <f t="shared" si="139"/>
        <v>0.33016785557750383</v>
      </c>
      <c r="AA364" s="10" t="e">
        <f t="shared" ca="1" si="126"/>
        <v>#VALUE!</v>
      </c>
      <c r="AB364" s="11" t="e">
        <f t="shared" si="140"/>
        <v>#VALUE!</v>
      </c>
      <c r="AC364" s="11" t="e">
        <f>SUM($S$31:S364)/$V$31</f>
        <v>#VALUE!</v>
      </c>
      <c r="AD364" s="11" t="e">
        <f>SUM($S$31:S364,$R$31:R364,$T$31:T364)/$V$31</f>
        <v>#VALUE!</v>
      </c>
      <c r="AE364" s="11" t="e">
        <f>SUM($M$31:M364)/$V$31</f>
        <v>#VALUE!</v>
      </c>
      <c r="AF364" s="11" t="e">
        <f ca="1">SUM(SUM($M$31:M364),-SUM($T$31:T364))/$V$31</f>
        <v>#VALUE!</v>
      </c>
      <c r="AG364">
        <f t="shared" si="127"/>
        <v>111222</v>
      </c>
    </row>
    <row r="365" spans="2:33" x14ac:dyDescent="0.15">
      <c r="B365" s="1">
        <f t="shared" si="141"/>
        <v>334</v>
      </c>
      <c r="C365" s="1">
        <f t="shared" si="128"/>
        <v>334</v>
      </c>
      <c r="D365" s="25">
        <v>3.5037377966698799E-2</v>
      </c>
      <c r="E365" s="2">
        <f t="shared" si="129"/>
        <v>12307.576846630674</v>
      </c>
      <c r="F365" s="3">
        <f t="shared" si="142"/>
        <v>0.04</v>
      </c>
      <c r="G365" s="2">
        <f t="shared" si="143"/>
        <v>477.41520000000003</v>
      </c>
      <c r="H365" s="2">
        <f t="shared" si="144"/>
        <v>41.025256155435585</v>
      </c>
      <c r="I365" s="2">
        <f t="shared" si="145"/>
        <v>436.38994384456441</v>
      </c>
      <c r="J365" s="2">
        <f t="shared" si="130"/>
        <v>11871.18690278611</v>
      </c>
      <c r="K365" s="2" t="e">
        <f t="shared" si="149"/>
        <v>#VALUE!</v>
      </c>
      <c r="L365" s="9">
        <v>1.6821425527395739E-3</v>
      </c>
      <c r="M365" s="2" t="e">
        <f t="shared" si="131"/>
        <v>#VALUE!</v>
      </c>
      <c r="N365" s="3">
        <f t="shared" si="132"/>
        <v>0.04</v>
      </c>
      <c r="O365" s="2" t="e">
        <f t="shared" si="133"/>
        <v>#VALUE!</v>
      </c>
      <c r="P365" s="10">
        <f t="shared" si="125"/>
        <v>0.1187118690278611</v>
      </c>
      <c r="Q365" s="13"/>
      <c r="R365" s="2" t="e">
        <f t="shared" si="146"/>
        <v>#VALUE!</v>
      </c>
      <c r="S365" s="2" t="e">
        <f t="shared" si="147"/>
        <v>#VALUE!</v>
      </c>
      <c r="T365" s="2" t="e">
        <f t="shared" ca="1" si="134"/>
        <v>#VALUE!</v>
      </c>
      <c r="U365" s="2" t="e">
        <f t="shared" si="148"/>
        <v>#VALUE!</v>
      </c>
      <c r="V365" s="2" t="e">
        <f t="shared" si="135"/>
        <v>#VALUE!</v>
      </c>
      <c r="W365" s="2">
        <f t="shared" si="136"/>
        <v>477.41520000000003</v>
      </c>
      <c r="X365" s="2" t="e">
        <f t="shared" ca="1" si="137"/>
        <v>#VALUE!</v>
      </c>
      <c r="Y365" s="2" t="e">
        <f t="shared" ca="1" si="138"/>
        <v>#VALUE!</v>
      </c>
      <c r="Z365" s="10">
        <f t="shared" si="139"/>
        <v>0.32907095240310824</v>
      </c>
      <c r="AA365" s="10" t="e">
        <f t="shared" ca="1" si="126"/>
        <v>#VALUE!</v>
      </c>
      <c r="AB365" s="11" t="e">
        <f t="shared" si="140"/>
        <v>#VALUE!</v>
      </c>
      <c r="AC365" s="11" t="e">
        <f>SUM($S$31:S365)/$V$31</f>
        <v>#VALUE!</v>
      </c>
      <c r="AD365" s="11" t="e">
        <f>SUM($S$31:S365,$R$31:R365,$T$31:T365)/$V$31</f>
        <v>#VALUE!</v>
      </c>
      <c r="AE365" s="11" t="e">
        <f>SUM($M$31:M365)/$V$31</f>
        <v>#VALUE!</v>
      </c>
      <c r="AF365" s="11" t="e">
        <f ca="1">SUM(SUM($M$31:M365),-SUM($T$31:T365))/$V$31</f>
        <v>#VALUE!</v>
      </c>
      <c r="AG365">
        <f t="shared" si="127"/>
        <v>111890</v>
      </c>
    </row>
    <row r="366" spans="2:33" x14ac:dyDescent="0.15">
      <c r="B366" s="1">
        <f t="shared" si="141"/>
        <v>335</v>
      </c>
      <c r="C366" s="1">
        <f t="shared" si="128"/>
        <v>335</v>
      </c>
      <c r="D366" s="25">
        <v>3.5021966709204204E-2</v>
      </c>
      <c r="E366" s="2">
        <f t="shared" si="129"/>
        <v>11871.18690278611</v>
      </c>
      <c r="F366" s="3">
        <f t="shared" si="142"/>
        <v>0.04</v>
      </c>
      <c r="G366" s="2">
        <f t="shared" si="143"/>
        <v>477.4153</v>
      </c>
      <c r="H366" s="2">
        <f t="shared" si="144"/>
        <v>39.57062300928704</v>
      </c>
      <c r="I366" s="2">
        <f t="shared" si="145"/>
        <v>437.84467699071297</v>
      </c>
      <c r="J366" s="2">
        <f t="shared" si="130"/>
        <v>11433.342225795397</v>
      </c>
      <c r="K366" s="2" t="e">
        <f t="shared" si="149"/>
        <v>#VALUE!</v>
      </c>
      <c r="L366" s="9">
        <v>1.6821425527395739E-3</v>
      </c>
      <c r="M366" s="2" t="e">
        <f t="shared" si="131"/>
        <v>#VALUE!</v>
      </c>
      <c r="N366" s="3">
        <f t="shared" si="132"/>
        <v>0.04</v>
      </c>
      <c r="O366" s="2" t="e">
        <f t="shared" si="133"/>
        <v>#VALUE!</v>
      </c>
      <c r="P366" s="10">
        <f t="shared" si="125"/>
        <v>0.11433342225795397</v>
      </c>
      <c r="Q366" s="13"/>
      <c r="R366" s="2" t="e">
        <f t="shared" si="146"/>
        <v>#VALUE!</v>
      </c>
      <c r="S366" s="2" t="e">
        <f t="shared" si="147"/>
        <v>#VALUE!</v>
      </c>
      <c r="T366" s="2" t="e">
        <f t="shared" ca="1" si="134"/>
        <v>#VALUE!</v>
      </c>
      <c r="U366" s="2" t="e">
        <f t="shared" si="148"/>
        <v>#VALUE!</v>
      </c>
      <c r="V366" s="2" t="e">
        <f t="shared" si="135"/>
        <v>#VALUE!</v>
      </c>
      <c r="W366" s="2">
        <f t="shared" si="136"/>
        <v>477.4153</v>
      </c>
      <c r="X366" s="2" t="e">
        <f t="shared" ca="1" si="137"/>
        <v>#VALUE!</v>
      </c>
      <c r="Y366" s="2" t="e">
        <f t="shared" ca="1" si="138"/>
        <v>#VALUE!</v>
      </c>
      <c r="Z366" s="10">
        <f t="shared" si="139"/>
        <v>0.32797769342530458</v>
      </c>
      <c r="AA366" s="10" t="e">
        <f t="shared" ca="1" si="126"/>
        <v>#VALUE!</v>
      </c>
      <c r="AB366" s="11" t="e">
        <f t="shared" si="140"/>
        <v>#VALUE!</v>
      </c>
      <c r="AC366" s="11" t="e">
        <f>SUM($S$31:S366)/$V$31</f>
        <v>#VALUE!</v>
      </c>
      <c r="AD366" s="11" t="e">
        <f>SUM($S$31:S366,$R$31:R366,$T$31:T366)/$V$31</f>
        <v>#VALUE!</v>
      </c>
      <c r="AE366" s="11" t="e">
        <f>SUM($M$31:M366)/$V$31</f>
        <v>#VALUE!</v>
      </c>
      <c r="AF366" s="11" t="e">
        <f ca="1">SUM(SUM($M$31:M366),-SUM($T$31:T366))/$V$31</f>
        <v>#VALUE!</v>
      </c>
      <c r="AG366">
        <f t="shared" si="127"/>
        <v>112560</v>
      </c>
    </row>
    <row r="367" spans="2:33" x14ac:dyDescent="0.15">
      <c r="B367" s="1">
        <f t="shared" si="141"/>
        <v>336</v>
      </c>
      <c r="C367" s="1">
        <f t="shared" si="128"/>
        <v>336</v>
      </c>
      <c r="D367" s="25">
        <v>3.5003981333495998E-2</v>
      </c>
      <c r="E367" s="2">
        <f t="shared" si="129"/>
        <v>11433.342225795397</v>
      </c>
      <c r="F367" s="3">
        <f t="shared" si="142"/>
        <v>0.04</v>
      </c>
      <c r="G367" s="2">
        <f t="shared" si="143"/>
        <v>477.41520000000003</v>
      </c>
      <c r="H367" s="2">
        <f t="shared" si="144"/>
        <v>38.111140752651323</v>
      </c>
      <c r="I367" s="2">
        <f t="shared" si="145"/>
        <v>439.30405924734873</v>
      </c>
      <c r="J367" s="2">
        <f t="shared" si="130"/>
        <v>10994.038166548049</v>
      </c>
      <c r="K367" s="2" t="e">
        <f t="shared" si="149"/>
        <v>#VALUE!</v>
      </c>
      <c r="L367" s="9">
        <v>1.6821425527395739E-3</v>
      </c>
      <c r="M367" s="2" t="e">
        <f t="shared" si="131"/>
        <v>#VALUE!</v>
      </c>
      <c r="N367" s="3">
        <f t="shared" si="132"/>
        <v>0.04</v>
      </c>
      <c r="O367" s="2" t="e">
        <f t="shared" si="133"/>
        <v>#VALUE!</v>
      </c>
      <c r="P367" s="10">
        <f t="shared" si="125"/>
        <v>0.10994038166548049</v>
      </c>
      <c r="Q367" s="13"/>
      <c r="R367" s="2" t="e">
        <f t="shared" si="146"/>
        <v>#VALUE!</v>
      </c>
      <c r="S367" s="2" t="e">
        <f t="shared" si="147"/>
        <v>#VALUE!</v>
      </c>
      <c r="T367" s="2" t="e">
        <f t="shared" ca="1" si="134"/>
        <v>#VALUE!</v>
      </c>
      <c r="U367" s="2" t="e">
        <f t="shared" si="148"/>
        <v>#VALUE!</v>
      </c>
      <c r="V367" s="2" t="e">
        <f t="shared" si="135"/>
        <v>#VALUE!</v>
      </c>
      <c r="W367" s="2">
        <f t="shared" si="136"/>
        <v>477.41520000000003</v>
      </c>
      <c r="X367" s="2" t="e">
        <f t="shared" ca="1" si="137"/>
        <v>#VALUE!</v>
      </c>
      <c r="Y367" s="2" t="e">
        <f t="shared" ca="1" si="138"/>
        <v>#VALUE!</v>
      </c>
      <c r="Z367" s="10">
        <f t="shared" si="139"/>
        <v>0.32688806653712721</v>
      </c>
      <c r="AA367" s="10" t="e">
        <f t="shared" ca="1" si="126"/>
        <v>#VALUE!</v>
      </c>
      <c r="AB367" s="11" t="e">
        <f t="shared" si="140"/>
        <v>#VALUE!</v>
      </c>
      <c r="AC367" s="11" t="e">
        <f>SUM($S$31:S367)/$V$31</f>
        <v>#VALUE!</v>
      </c>
      <c r="AD367" s="11" t="e">
        <f>SUM($S$31:S367,$R$31:R367,$T$31:T367)/$V$31</f>
        <v>#VALUE!</v>
      </c>
      <c r="AE367" s="11" t="e">
        <f>SUM($M$31:M367)/$V$31</f>
        <v>#VALUE!</v>
      </c>
      <c r="AF367" s="11" t="e">
        <f ca="1">SUM(SUM($M$31:M367),-SUM($T$31:T367))/$V$31</f>
        <v>#VALUE!</v>
      </c>
      <c r="AG367">
        <f t="shared" si="127"/>
        <v>113232</v>
      </c>
    </row>
    <row r="368" spans="2:33" x14ac:dyDescent="0.15">
      <c r="B368" s="1">
        <f t="shared" si="141"/>
        <v>337</v>
      </c>
      <c r="C368" s="1">
        <f t="shared" si="128"/>
        <v>337</v>
      </c>
      <c r="D368" s="25">
        <v>3.4981181039309001E-2</v>
      </c>
      <c r="E368" s="2">
        <f t="shared" si="129"/>
        <v>10994.038166548049</v>
      </c>
      <c r="F368" s="3">
        <f t="shared" si="142"/>
        <v>0.04</v>
      </c>
      <c r="G368" s="2">
        <f t="shared" si="143"/>
        <v>477.4153</v>
      </c>
      <c r="H368" s="2">
        <f t="shared" si="144"/>
        <v>36.646793888493498</v>
      </c>
      <c r="I368" s="2">
        <f t="shared" si="145"/>
        <v>440.7685061115065</v>
      </c>
      <c r="J368" s="2">
        <f t="shared" si="130"/>
        <v>10553.269660436543</v>
      </c>
      <c r="K368" s="2" t="e">
        <f t="shared" si="149"/>
        <v>#VALUE!</v>
      </c>
      <c r="L368" s="9">
        <v>1.6821425527395739E-3</v>
      </c>
      <c r="M368" s="2" t="e">
        <f t="shared" si="131"/>
        <v>#VALUE!</v>
      </c>
      <c r="N368" s="3">
        <f t="shared" si="132"/>
        <v>0.04</v>
      </c>
      <c r="O368" s="2" t="e">
        <f t="shared" si="133"/>
        <v>#VALUE!</v>
      </c>
      <c r="P368" s="10">
        <f t="shared" si="125"/>
        <v>0.10553269660436543</v>
      </c>
      <c r="Q368" s="13"/>
      <c r="R368" s="2" t="e">
        <f t="shared" si="146"/>
        <v>#VALUE!</v>
      </c>
      <c r="S368" s="2" t="e">
        <f t="shared" si="147"/>
        <v>#VALUE!</v>
      </c>
      <c r="T368" s="2" t="e">
        <f t="shared" ca="1" si="134"/>
        <v>#VALUE!</v>
      </c>
      <c r="U368" s="2" t="e">
        <f t="shared" si="148"/>
        <v>#VALUE!</v>
      </c>
      <c r="V368" s="2" t="e">
        <f t="shared" si="135"/>
        <v>#VALUE!</v>
      </c>
      <c r="W368" s="2">
        <f t="shared" si="136"/>
        <v>477.4153</v>
      </c>
      <c r="X368" s="2" t="e">
        <f t="shared" ca="1" si="137"/>
        <v>#VALUE!</v>
      </c>
      <c r="Y368" s="2" t="e">
        <f t="shared" ca="1" si="138"/>
        <v>#VALUE!</v>
      </c>
      <c r="Z368" s="10">
        <f t="shared" si="139"/>
        <v>0.32580205967183318</v>
      </c>
      <c r="AA368" s="10" t="e">
        <f t="shared" ca="1" si="126"/>
        <v>#VALUE!</v>
      </c>
      <c r="AB368" s="11" t="e">
        <f t="shared" si="140"/>
        <v>#VALUE!</v>
      </c>
      <c r="AC368" s="11" t="e">
        <f>SUM($S$31:S368)/$V$31</f>
        <v>#VALUE!</v>
      </c>
      <c r="AD368" s="11" t="e">
        <f>SUM($S$31:S368,$R$31:R368,$T$31:T368)/$V$31</f>
        <v>#VALUE!</v>
      </c>
      <c r="AE368" s="11" t="e">
        <f>SUM($M$31:M368)/$V$31</f>
        <v>#VALUE!</v>
      </c>
      <c r="AF368" s="11" t="e">
        <f ca="1">SUM(SUM($M$31:M368),-SUM($T$31:T368))/$V$31</f>
        <v>#VALUE!</v>
      </c>
      <c r="AG368">
        <f t="shared" si="127"/>
        <v>113906</v>
      </c>
    </row>
    <row r="369" spans="2:33" x14ac:dyDescent="0.15">
      <c r="B369" s="1">
        <f t="shared" si="141"/>
        <v>338</v>
      </c>
      <c r="C369" s="1">
        <f t="shared" si="128"/>
        <v>338</v>
      </c>
      <c r="D369" s="25">
        <v>3.4968160163211998E-2</v>
      </c>
      <c r="E369" s="2">
        <f t="shared" si="129"/>
        <v>10553.269660436543</v>
      </c>
      <c r="F369" s="3">
        <f t="shared" si="142"/>
        <v>0.04</v>
      </c>
      <c r="G369" s="2">
        <f t="shared" si="143"/>
        <v>477.41520000000003</v>
      </c>
      <c r="H369" s="2">
        <f t="shared" si="144"/>
        <v>35.177565534788478</v>
      </c>
      <c r="I369" s="2">
        <f t="shared" si="145"/>
        <v>442.23763446521156</v>
      </c>
      <c r="J369" s="2">
        <f t="shared" si="130"/>
        <v>10111.032025971332</v>
      </c>
      <c r="K369" s="2" t="e">
        <f t="shared" si="149"/>
        <v>#VALUE!</v>
      </c>
      <c r="L369" s="9">
        <v>1.6821425527395739E-3</v>
      </c>
      <c r="M369" s="2" t="e">
        <f t="shared" si="131"/>
        <v>#VALUE!</v>
      </c>
      <c r="N369" s="3">
        <f t="shared" si="132"/>
        <v>0.04</v>
      </c>
      <c r="O369" s="2" t="e">
        <f t="shared" si="133"/>
        <v>#VALUE!</v>
      </c>
      <c r="P369" s="10">
        <f t="shared" si="125"/>
        <v>0.10111032025971331</v>
      </c>
      <c r="Q369" s="13"/>
      <c r="R369" s="2" t="e">
        <f t="shared" si="146"/>
        <v>#VALUE!</v>
      </c>
      <c r="S369" s="2" t="e">
        <f t="shared" si="147"/>
        <v>#VALUE!</v>
      </c>
      <c r="T369" s="2" t="e">
        <f t="shared" ca="1" si="134"/>
        <v>#VALUE!</v>
      </c>
      <c r="U369" s="2" t="e">
        <f t="shared" si="148"/>
        <v>#VALUE!</v>
      </c>
      <c r="V369" s="2" t="e">
        <f t="shared" si="135"/>
        <v>#VALUE!</v>
      </c>
      <c r="W369" s="2">
        <f t="shared" si="136"/>
        <v>477.41520000000003</v>
      </c>
      <c r="X369" s="2" t="e">
        <f t="shared" ca="1" si="137"/>
        <v>#VALUE!</v>
      </c>
      <c r="Y369" s="2" t="e">
        <f t="shared" ca="1" si="138"/>
        <v>#VALUE!</v>
      </c>
      <c r="Z369" s="10">
        <f t="shared" si="139"/>
        <v>0.32471966080276854</v>
      </c>
      <c r="AA369" s="10" t="e">
        <f t="shared" ca="1" si="126"/>
        <v>#VALUE!</v>
      </c>
      <c r="AB369" s="11" t="e">
        <f t="shared" si="140"/>
        <v>#VALUE!</v>
      </c>
      <c r="AC369" s="11" t="e">
        <f>SUM($S$31:S369)/$V$31</f>
        <v>#VALUE!</v>
      </c>
      <c r="AD369" s="11" t="e">
        <f>SUM($S$31:S369,$R$31:R369,$T$31:T369)/$V$31</f>
        <v>#VALUE!</v>
      </c>
      <c r="AE369" s="11" t="e">
        <f>SUM($M$31:M369)/$V$31</f>
        <v>#VALUE!</v>
      </c>
      <c r="AF369" s="11" t="e">
        <f ca="1">SUM(SUM($M$31:M369),-SUM($T$31:T369))/$V$31</f>
        <v>#VALUE!</v>
      </c>
      <c r="AG369">
        <f t="shared" si="127"/>
        <v>114582</v>
      </c>
    </row>
    <row r="370" spans="2:33" x14ac:dyDescent="0.15">
      <c r="B370" s="1">
        <f t="shared" si="141"/>
        <v>339</v>
      </c>
      <c r="C370" s="1">
        <f t="shared" si="128"/>
        <v>339</v>
      </c>
      <c r="D370" s="25">
        <v>3.4947111361332002E-2</v>
      </c>
      <c r="E370" s="2">
        <f t="shared" si="129"/>
        <v>10111.032025971332</v>
      </c>
      <c r="F370" s="3">
        <f t="shared" si="142"/>
        <v>0.04</v>
      </c>
      <c r="G370" s="2">
        <f t="shared" si="143"/>
        <v>477.4153</v>
      </c>
      <c r="H370" s="2">
        <f t="shared" si="144"/>
        <v>33.703440086571106</v>
      </c>
      <c r="I370" s="2">
        <f t="shared" si="145"/>
        <v>443.7118599134289</v>
      </c>
      <c r="J370" s="2">
        <f t="shared" si="130"/>
        <v>9667.3201660579034</v>
      </c>
      <c r="K370" s="2" t="e">
        <f t="shared" si="149"/>
        <v>#VALUE!</v>
      </c>
      <c r="L370" s="9">
        <v>1.6821425527395739E-3</v>
      </c>
      <c r="M370" s="2" t="e">
        <f t="shared" si="131"/>
        <v>#VALUE!</v>
      </c>
      <c r="N370" s="3">
        <f t="shared" si="132"/>
        <v>0.04</v>
      </c>
      <c r="O370" s="2" t="e">
        <f t="shared" si="133"/>
        <v>#VALUE!</v>
      </c>
      <c r="P370" s="10">
        <f t="shared" si="125"/>
        <v>9.6673201660579036E-2</v>
      </c>
      <c r="Q370" s="13"/>
      <c r="R370" s="2" t="e">
        <f t="shared" si="146"/>
        <v>#VALUE!</v>
      </c>
      <c r="S370" s="2" t="e">
        <f t="shared" si="147"/>
        <v>#VALUE!</v>
      </c>
      <c r="T370" s="2" t="e">
        <f t="shared" ca="1" si="134"/>
        <v>#VALUE!</v>
      </c>
      <c r="U370" s="2" t="e">
        <f t="shared" si="148"/>
        <v>#VALUE!</v>
      </c>
      <c r="V370" s="2" t="e">
        <f t="shared" si="135"/>
        <v>#VALUE!</v>
      </c>
      <c r="W370" s="2">
        <f t="shared" si="136"/>
        <v>477.4153</v>
      </c>
      <c r="X370" s="2" t="e">
        <f t="shared" ca="1" si="137"/>
        <v>#VALUE!</v>
      </c>
      <c r="Y370" s="2" t="e">
        <f t="shared" ca="1" si="138"/>
        <v>#VALUE!</v>
      </c>
      <c r="Z370" s="10">
        <f t="shared" si="139"/>
        <v>0.32364085794323466</v>
      </c>
      <c r="AA370" s="10" t="e">
        <f t="shared" ca="1" si="126"/>
        <v>#VALUE!</v>
      </c>
      <c r="AB370" s="11" t="e">
        <f t="shared" si="140"/>
        <v>#VALUE!</v>
      </c>
      <c r="AC370" s="11" t="e">
        <f>SUM($S$31:S370)/$V$31</f>
        <v>#VALUE!</v>
      </c>
      <c r="AD370" s="11" t="e">
        <f>SUM($S$31:S370,$R$31:R370,$T$31:T370)/$V$31</f>
        <v>#VALUE!</v>
      </c>
      <c r="AE370" s="11" t="e">
        <f>SUM($M$31:M370)/$V$31</f>
        <v>#VALUE!</v>
      </c>
      <c r="AF370" s="11" t="e">
        <f ca="1">SUM(SUM($M$31:M370),-SUM($T$31:T370))/$V$31</f>
        <v>#VALUE!</v>
      </c>
      <c r="AG370">
        <f t="shared" si="127"/>
        <v>115260</v>
      </c>
    </row>
    <row r="371" spans="2:33" x14ac:dyDescent="0.15">
      <c r="B371" s="1">
        <f t="shared" si="141"/>
        <v>340</v>
      </c>
      <c r="C371" s="1">
        <f t="shared" si="128"/>
        <v>340</v>
      </c>
      <c r="D371" s="25">
        <v>3.49289315743758E-2</v>
      </c>
      <c r="E371" s="2">
        <f t="shared" si="129"/>
        <v>9667.3201660579034</v>
      </c>
      <c r="F371" s="3">
        <f t="shared" si="142"/>
        <v>0.04</v>
      </c>
      <c r="G371" s="2">
        <f t="shared" si="143"/>
        <v>477.41520000000003</v>
      </c>
      <c r="H371" s="2">
        <f t="shared" si="144"/>
        <v>32.224400553526344</v>
      </c>
      <c r="I371" s="2">
        <f t="shared" si="145"/>
        <v>445.1907994464737</v>
      </c>
      <c r="J371" s="2">
        <f t="shared" si="130"/>
        <v>9222.1293666114288</v>
      </c>
      <c r="K371" s="2" t="e">
        <f t="shared" si="149"/>
        <v>#VALUE!</v>
      </c>
      <c r="L371" s="9">
        <v>1.6821425527395739E-3</v>
      </c>
      <c r="M371" s="2" t="e">
        <f t="shared" si="131"/>
        <v>#VALUE!</v>
      </c>
      <c r="N371" s="3">
        <f t="shared" si="132"/>
        <v>0.04</v>
      </c>
      <c r="O371" s="2" t="e">
        <f t="shared" si="133"/>
        <v>#VALUE!</v>
      </c>
      <c r="P371" s="10">
        <f t="shared" si="125"/>
        <v>9.2221293666114285E-2</v>
      </c>
      <c r="Q371" s="13"/>
      <c r="R371" s="2" t="e">
        <f t="shared" si="146"/>
        <v>#VALUE!</v>
      </c>
      <c r="S371" s="2" t="e">
        <f t="shared" si="147"/>
        <v>#VALUE!</v>
      </c>
      <c r="T371" s="2" t="e">
        <f t="shared" ca="1" si="134"/>
        <v>#VALUE!</v>
      </c>
      <c r="U371" s="2" t="e">
        <f t="shared" si="148"/>
        <v>#VALUE!</v>
      </c>
      <c r="V371" s="2" t="e">
        <f t="shared" si="135"/>
        <v>#VALUE!</v>
      </c>
      <c r="W371" s="2">
        <f t="shared" si="136"/>
        <v>477.41520000000003</v>
      </c>
      <c r="X371" s="2" t="e">
        <f t="shared" ca="1" si="137"/>
        <v>#VALUE!</v>
      </c>
      <c r="Y371" s="2" t="e">
        <f t="shared" ca="1" si="138"/>
        <v>#VALUE!</v>
      </c>
      <c r="Z371" s="10">
        <f t="shared" si="139"/>
        <v>0.32256563914635622</v>
      </c>
      <c r="AA371" s="10" t="e">
        <f t="shared" ca="1" si="126"/>
        <v>#VALUE!</v>
      </c>
      <c r="AB371" s="11" t="e">
        <f t="shared" si="140"/>
        <v>#VALUE!</v>
      </c>
      <c r="AC371" s="11" t="e">
        <f>SUM($S$31:S371)/$V$31</f>
        <v>#VALUE!</v>
      </c>
      <c r="AD371" s="11" t="e">
        <f>SUM($S$31:S371,$R$31:R371,$T$31:T371)/$V$31</f>
        <v>#VALUE!</v>
      </c>
      <c r="AE371" s="11" t="e">
        <f>SUM($M$31:M371)/$V$31</f>
        <v>#VALUE!</v>
      </c>
      <c r="AF371" s="11" t="e">
        <f ca="1">SUM(SUM($M$31:M371),-SUM($T$31:T371))/$V$31</f>
        <v>#VALUE!</v>
      </c>
      <c r="AG371">
        <f t="shared" si="127"/>
        <v>115940</v>
      </c>
    </row>
    <row r="372" spans="2:33" x14ac:dyDescent="0.15">
      <c r="B372" s="1">
        <f t="shared" si="141"/>
        <v>341</v>
      </c>
      <c r="C372" s="1">
        <f t="shared" si="128"/>
        <v>341</v>
      </c>
      <c r="D372" s="25">
        <v>3.4906771865051499E-2</v>
      </c>
      <c r="E372" s="2">
        <f t="shared" si="129"/>
        <v>9222.1293666114288</v>
      </c>
      <c r="F372" s="3">
        <f t="shared" si="142"/>
        <v>0.04</v>
      </c>
      <c r="G372" s="2">
        <f t="shared" si="143"/>
        <v>477.4153</v>
      </c>
      <c r="H372" s="2">
        <f t="shared" si="144"/>
        <v>30.740431222038097</v>
      </c>
      <c r="I372" s="2">
        <f t="shared" si="145"/>
        <v>446.67486877796193</v>
      </c>
      <c r="J372" s="2">
        <f t="shared" si="130"/>
        <v>8775.454497833467</v>
      </c>
      <c r="K372" s="2" t="e">
        <f t="shared" si="149"/>
        <v>#VALUE!</v>
      </c>
      <c r="L372" s="9">
        <v>1.6821425527395739E-3</v>
      </c>
      <c r="M372" s="2" t="e">
        <f t="shared" si="131"/>
        <v>#VALUE!</v>
      </c>
      <c r="N372" s="3">
        <f t="shared" si="132"/>
        <v>0.04</v>
      </c>
      <c r="O372" s="2" t="e">
        <f t="shared" si="133"/>
        <v>#VALUE!</v>
      </c>
      <c r="P372" s="10">
        <f t="shared" si="125"/>
        <v>8.7754544978334667E-2</v>
      </c>
      <c r="Q372" s="13"/>
      <c r="R372" s="2" t="e">
        <f t="shared" si="146"/>
        <v>#VALUE!</v>
      </c>
      <c r="S372" s="2" t="e">
        <f t="shared" si="147"/>
        <v>#VALUE!</v>
      </c>
      <c r="T372" s="2" t="e">
        <f t="shared" ca="1" si="134"/>
        <v>#VALUE!</v>
      </c>
      <c r="U372" s="2" t="e">
        <f t="shared" si="148"/>
        <v>#VALUE!</v>
      </c>
      <c r="V372" s="2" t="e">
        <f t="shared" si="135"/>
        <v>#VALUE!</v>
      </c>
      <c r="W372" s="2">
        <f t="shared" si="136"/>
        <v>477.4153</v>
      </c>
      <c r="X372" s="2" t="e">
        <f t="shared" ca="1" si="137"/>
        <v>#VALUE!</v>
      </c>
      <c r="Y372" s="2" t="e">
        <f t="shared" ca="1" si="138"/>
        <v>#VALUE!</v>
      </c>
      <c r="Z372" s="10">
        <f t="shared" si="139"/>
        <v>0.32149399250494815</v>
      </c>
      <c r="AA372" s="10" t="e">
        <f t="shared" ca="1" si="126"/>
        <v>#VALUE!</v>
      </c>
      <c r="AB372" s="11" t="e">
        <f t="shared" si="140"/>
        <v>#VALUE!</v>
      </c>
      <c r="AC372" s="11" t="e">
        <f>SUM($S$31:S372)/$V$31</f>
        <v>#VALUE!</v>
      </c>
      <c r="AD372" s="11" t="e">
        <f>SUM($S$31:S372,$R$31:R372,$T$31:T372)/$V$31</f>
        <v>#VALUE!</v>
      </c>
      <c r="AE372" s="11" t="e">
        <f>SUM($M$31:M372)/$V$31</f>
        <v>#VALUE!</v>
      </c>
      <c r="AF372" s="11" t="e">
        <f ca="1">SUM(SUM($M$31:M372),-SUM($T$31:T372))/$V$31</f>
        <v>#VALUE!</v>
      </c>
      <c r="AG372">
        <f t="shared" si="127"/>
        <v>116622</v>
      </c>
    </row>
    <row r="373" spans="2:33" x14ac:dyDescent="0.15">
      <c r="B373" s="1">
        <f t="shared" si="141"/>
        <v>342</v>
      </c>
      <c r="C373" s="1">
        <f t="shared" si="128"/>
        <v>342</v>
      </c>
      <c r="D373" s="25">
        <v>3.4887473313877704E-2</v>
      </c>
      <c r="E373" s="2">
        <f t="shared" si="129"/>
        <v>8775.454497833467</v>
      </c>
      <c r="F373" s="3">
        <f t="shared" si="142"/>
        <v>0.04</v>
      </c>
      <c r="G373" s="2">
        <f t="shared" si="143"/>
        <v>477.41520000000003</v>
      </c>
      <c r="H373" s="2">
        <f t="shared" si="144"/>
        <v>29.251514992778226</v>
      </c>
      <c r="I373" s="2">
        <f t="shared" si="145"/>
        <v>448.16368500722183</v>
      </c>
      <c r="J373" s="2">
        <f t="shared" si="130"/>
        <v>8327.2908128262461</v>
      </c>
      <c r="K373" s="2" t="e">
        <f t="shared" si="149"/>
        <v>#VALUE!</v>
      </c>
      <c r="L373" s="9">
        <v>1.6821425527395739E-3</v>
      </c>
      <c r="M373" s="2" t="e">
        <f t="shared" si="131"/>
        <v>#VALUE!</v>
      </c>
      <c r="N373" s="3">
        <f t="shared" si="132"/>
        <v>0.04</v>
      </c>
      <c r="O373" s="2" t="e">
        <f t="shared" si="133"/>
        <v>#VALUE!</v>
      </c>
      <c r="P373" s="10">
        <f t="shared" si="125"/>
        <v>8.3272908128262463E-2</v>
      </c>
      <c r="Q373" s="13"/>
      <c r="R373" s="2" t="e">
        <f t="shared" si="146"/>
        <v>#VALUE!</v>
      </c>
      <c r="S373" s="2" t="e">
        <f t="shared" si="147"/>
        <v>#VALUE!</v>
      </c>
      <c r="T373" s="2" t="e">
        <f t="shared" ca="1" si="134"/>
        <v>#VALUE!</v>
      </c>
      <c r="U373" s="2" t="e">
        <f t="shared" si="148"/>
        <v>#VALUE!</v>
      </c>
      <c r="V373" s="2" t="e">
        <f t="shared" si="135"/>
        <v>#VALUE!</v>
      </c>
      <c r="W373" s="2">
        <f t="shared" si="136"/>
        <v>477.41520000000003</v>
      </c>
      <c r="X373" s="2" t="e">
        <f t="shared" ca="1" si="137"/>
        <v>#VALUE!</v>
      </c>
      <c r="Y373" s="2" t="e">
        <f t="shared" ca="1" si="138"/>
        <v>#VALUE!</v>
      </c>
      <c r="Z373" s="10">
        <f t="shared" si="139"/>
        <v>0.32042590615138433</v>
      </c>
      <c r="AA373" s="10" t="e">
        <f t="shared" ca="1" si="126"/>
        <v>#VALUE!</v>
      </c>
      <c r="AB373" s="11" t="e">
        <f t="shared" si="140"/>
        <v>#VALUE!</v>
      </c>
      <c r="AC373" s="11" t="e">
        <f>SUM($S$31:S373)/$V$31</f>
        <v>#VALUE!</v>
      </c>
      <c r="AD373" s="11" t="e">
        <f>SUM($S$31:S373,$R$31:R373,$T$31:T373)/$V$31</f>
        <v>#VALUE!</v>
      </c>
      <c r="AE373" s="11" t="e">
        <f>SUM($M$31:M373)/$V$31</f>
        <v>#VALUE!</v>
      </c>
      <c r="AF373" s="11" t="e">
        <f ca="1">SUM(SUM($M$31:M373),-SUM($T$31:T373))/$V$31</f>
        <v>#VALUE!</v>
      </c>
      <c r="AG373">
        <f t="shared" si="127"/>
        <v>117306</v>
      </c>
    </row>
    <row r="374" spans="2:33" x14ac:dyDescent="0.15">
      <c r="B374" s="1">
        <f t="shared" si="141"/>
        <v>343</v>
      </c>
      <c r="C374" s="1">
        <f t="shared" si="128"/>
        <v>343</v>
      </c>
      <c r="D374" s="25">
        <v>3.48655498916247E-2</v>
      </c>
      <c r="E374" s="2">
        <f t="shared" si="129"/>
        <v>8327.2908128262461</v>
      </c>
      <c r="F374" s="3">
        <f t="shared" si="142"/>
        <v>0.04</v>
      </c>
      <c r="G374" s="2">
        <f t="shared" si="143"/>
        <v>477.4153</v>
      </c>
      <c r="H374" s="2">
        <f t="shared" si="144"/>
        <v>27.757636042754154</v>
      </c>
      <c r="I374" s="2">
        <f t="shared" si="145"/>
        <v>449.65766395724586</v>
      </c>
      <c r="J374" s="2">
        <f t="shared" si="130"/>
        <v>7877.6331488690003</v>
      </c>
      <c r="K374" s="2" t="e">
        <f t="shared" si="149"/>
        <v>#VALUE!</v>
      </c>
      <c r="L374" s="9">
        <v>1.6821425527395739E-3</v>
      </c>
      <c r="M374" s="2" t="e">
        <f t="shared" si="131"/>
        <v>#VALUE!</v>
      </c>
      <c r="N374" s="3">
        <f t="shared" si="132"/>
        <v>0.04</v>
      </c>
      <c r="O374" s="2" t="e">
        <f t="shared" si="133"/>
        <v>#VALUE!</v>
      </c>
      <c r="P374" s="10">
        <f t="shared" si="125"/>
        <v>7.8776331488689996E-2</v>
      </c>
      <c r="Q374" s="13"/>
      <c r="R374" s="2" t="e">
        <f t="shared" si="146"/>
        <v>#VALUE!</v>
      </c>
      <c r="S374" s="2" t="e">
        <f t="shared" si="147"/>
        <v>#VALUE!</v>
      </c>
      <c r="T374" s="2" t="e">
        <f t="shared" ca="1" si="134"/>
        <v>#VALUE!</v>
      </c>
      <c r="U374" s="2" t="e">
        <f t="shared" si="148"/>
        <v>#VALUE!</v>
      </c>
      <c r="V374" s="2" t="e">
        <f t="shared" si="135"/>
        <v>#VALUE!</v>
      </c>
      <c r="W374" s="2">
        <f t="shared" si="136"/>
        <v>477.4153</v>
      </c>
      <c r="X374" s="2" t="e">
        <f t="shared" ca="1" si="137"/>
        <v>#VALUE!</v>
      </c>
      <c r="Y374" s="2" t="e">
        <f t="shared" ca="1" si="138"/>
        <v>#VALUE!</v>
      </c>
      <c r="Z374" s="10">
        <f t="shared" si="139"/>
        <v>0.31936136825746608</v>
      </c>
      <c r="AA374" s="10" t="e">
        <f t="shared" ca="1" si="126"/>
        <v>#VALUE!</v>
      </c>
      <c r="AB374" s="11" t="e">
        <f t="shared" si="140"/>
        <v>#VALUE!</v>
      </c>
      <c r="AC374" s="11" t="e">
        <f>SUM($S$31:S374)/$V$31</f>
        <v>#VALUE!</v>
      </c>
      <c r="AD374" s="11" t="e">
        <f>SUM($S$31:S374,$R$31:R374,$T$31:T374)/$V$31</f>
        <v>#VALUE!</v>
      </c>
      <c r="AE374" s="11" t="e">
        <f>SUM($M$31:M374)/$V$31</f>
        <v>#VALUE!</v>
      </c>
      <c r="AF374" s="11" t="e">
        <f ca="1">SUM(SUM($M$31:M374),-SUM($T$31:T374))/$V$31</f>
        <v>#VALUE!</v>
      </c>
      <c r="AG374">
        <f t="shared" si="127"/>
        <v>117992</v>
      </c>
    </row>
    <row r="375" spans="2:33" x14ac:dyDescent="0.15">
      <c r="B375" s="1">
        <f t="shared" si="141"/>
        <v>344</v>
      </c>
      <c r="C375" s="1">
        <f t="shared" si="128"/>
        <v>344</v>
      </c>
      <c r="D375" s="25">
        <v>3.4841715139213997E-2</v>
      </c>
      <c r="E375" s="2">
        <f t="shared" si="129"/>
        <v>7877.6331488690003</v>
      </c>
      <c r="F375" s="3">
        <f t="shared" si="142"/>
        <v>0.04</v>
      </c>
      <c r="G375" s="2">
        <f t="shared" si="143"/>
        <v>477.41520000000003</v>
      </c>
      <c r="H375" s="2">
        <f t="shared" si="144"/>
        <v>26.258777162896671</v>
      </c>
      <c r="I375" s="2">
        <f t="shared" si="145"/>
        <v>451.15642283710338</v>
      </c>
      <c r="J375" s="2">
        <f t="shared" si="130"/>
        <v>7426.4767260318968</v>
      </c>
      <c r="K375" s="2" t="e">
        <f t="shared" si="149"/>
        <v>#VALUE!</v>
      </c>
      <c r="L375" s="9">
        <v>1.6821425527395739E-3</v>
      </c>
      <c r="M375" s="2" t="e">
        <f t="shared" si="131"/>
        <v>#VALUE!</v>
      </c>
      <c r="N375" s="3">
        <f t="shared" si="132"/>
        <v>0.04</v>
      </c>
      <c r="O375" s="2" t="e">
        <f t="shared" si="133"/>
        <v>#VALUE!</v>
      </c>
      <c r="P375" s="10">
        <f t="shared" si="125"/>
        <v>7.426476726031897E-2</v>
      </c>
      <c r="Q375" s="13"/>
      <c r="R375" s="2" t="e">
        <f t="shared" si="146"/>
        <v>#VALUE!</v>
      </c>
      <c r="S375" s="2" t="e">
        <f t="shared" si="147"/>
        <v>#VALUE!</v>
      </c>
      <c r="T375" s="2" t="e">
        <f t="shared" ca="1" si="134"/>
        <v>#VALUE!</v>
      </c>
      <c r="U375" s="2" t="e">
        <f t="shared" si="148"/>
        <v>#VALUE!</v>
      </c>
      <c r="V375" s="2" t="e">
        <f t="shared" si="135"/>
        <v>#VALUE!</v>
      </c>
      <c r="W375" s="2">
        <f t="shared" si="136"/>
        <v>477.41520000000003</v>
      </c>
      <c r="X375" s="2" t="e">
        <f t="shared" ca="1" si="137"/>
        <v>#VALUE!</v>
      </c>
      <c r="Y375" s="2" t="e">
        <f t="shared" ca="1" si="138"/>
        <v>#VALUE!</v>
      </c>
      <c r="Z375" s="10">
        <f t="shared" si="139"/>
        <v>0.31830036703429082</v>
      </c>
      <c r="AA375" s="10" t="e">
        <f t="shared" ca="1" si="126"/>
        <v>#VALUE!</v>
      </c>
      <c r="AB375" s="11" t="e">
        <f t="shared" si="140"/>
        <v>#VALUE!</v>
      </c>
      <c r="AC375" s="11" t="e">
        <f>SUM($S$31:S375)/$V$31</f>
        <v>#VALUE!</v>
      </c>
      <c r="AD375" s="11" t="e">
        <f>SUM($S$31:S375,$R$31:R375,$T$31:T375)/$V$31</f>
        <v>#VALUE!</v>
      </c>
      <c r="AE375" s="11" t="e">
        <f>SUM($M$31:M375)/$V$31</f>
        <v>#VALUE!</v>
      </c>
      <c r="AF375" s="11" t="e">
        <f ca="1">SUM(SUM($M$31:M375),-SUM($T$31:T375))/$V$31</f>
        <v>#VALUE!</v>
      </c>
      <c r="AG375">
        <f t="shared" si="127"/>
        <v>118680</v>
      </c>
    </row>
    <row r="376" spans="2:33" x14ac:dyDescent="0.15">
      <c r="B376" s="1">
        <f t="shared" si="141"/>
        <v>345</v>
      </c>
      <c r="C376" s="1">
        <f t="shared" si="128"/>
        <v>345</v>
      </c>
      <c r="D376" s="25">
        <v>3.4820728893078703E-2</v>
      </c>
      <c r="E376" s="2">
        <f t="shared" si="129"/>
        <v>7426.4767260318968</v>
      </c>
      <c r="F376" s="3">
        <f t="shared" si="142"/>
        <v>0.04</v>
      </c>
      <c r="G376" s="2">
        <f t="shared" si="143"/>
        <v>477.4153</v>
      </c>
      <c r="H376" s="2">
        <f t="shared" si="144"/>
        <v>24.754922420106325</v>
      </c>
      <c r="I376" s="2">
        <f t="shared" si="145"/>
        <v>452.66037757989369</v>
      </c>
      <c r="J376" s="2">
        <f t="shared" si="130"/>
        <v>6973.8163484520028</v>
      </c>
      <c r="K376" s="2" t="e">
        <f t="shared" si="149"/>
        <v>#VALUE!</v>
      </c>
      <c r="L376" s="9">
        <v>1.6821425527395739E-3</v>
      </c>
      <c r="M376" s="2" t="e">
        <f t="shared" si="131"/>
        <v>#VALUE!</v>
      </c>
      <c r="N376" s="3">
        <f t="shared" si="132"/>
        <v>0.04</v>
      </c>
      <c r="O376" s="2" t="e">
        <f t="shared" si="133"/>
        <v>#VALUE!</v>
      </c>
      <c r="P376" s="10">
        <f t="shared" si="125"/>
        <v>6.9738163484520027E-2</v>
      </c>
      <c r="Q376" s="13"/>
      <c r="R376" s="2" t="e">
        <f t="shared" si="146"/>
        <v>#VALUE!</v>
      </c>
      <c r="S376" s="2" t="e">
        <f t="shared" si="147"/>
        <v>#VALUE!</v>
      </c>
      <c r="T376" s="2" t="e">
        <f t="shared" ca="1" si="134"/>
        <v>#VALUE!</v>
      </c>
      <c r="U376" s="2" t="e">
        <f t="shared" si="148"/>
        <v>#VALUE!</v>
      </c>
      <c r="V376" s="2" t="e">
        <f t="shared" si="135"/>
        <v>#VALUE!</v>
      </c>
      <c r="W376" s="2">
        <f t="shared" si="136"/>
        <v>477.4153</v>
      </c>
      <c r="X376" s="2" t="e">
        <f t="shared" ca="1" si="137"/>
        <v>#VALUE!</v>
      </c>
      <c r="Y376" s="2" t="e">
        <f t="shared" ca="1" si="138"/>
        <v>#VALUE!</v>
      </c>
      <c r="Z376" s="10">
        <f t="shared" si="139"/>
        <v>0.31724289073212186</v>
      </c>
      <c r="AA376" s="10" t="e">
        <f t="shared" ca="1" si="126"/>
        <v>#VALUE!</v>
      </c>
      <c r="AB376" s="11" t="e">
        <f t="shared" si="140"/>
        <v>#VALUE!</v>
      </c>
      <c r="AC376" s="11" t="e">
        <f>SUM($S$31:S376)/$V$31</f>
        <v>#VALUE!</v>
      </c>
      <c r="AD376" s="11" t="e">
        <f>SUM($S$31:S376,$R$31:R376,$T$31:T376)/$V$31</f>
        <v>#VALUE!</v>
      </c>
      <c r="AE376" s="11" t="e">
        <f>SUM($M$31:M376)/$V$31</f>
        <v>#VALUE!</v>
      </c>
      <c r="AF376" s="11" t="e">
        <f ca="1">SUM(SUM($M$31:M376),-SUM($T$31:T376))/$V$31</f>
        <v>#VALUE!</v>
      </c>
      <c r="AG376">
        <f t="shared" si="127"/>
        <v>119370</v>
      </c>
    </row>
    <row r="377" spans="2:33" x14ac:dyDescent="0.15">
      <c r="B377" s="1">
        <f t="shared" si="141"/>
        <v>346</v>
      </c>
      <c r="C377" s="1">
        <f t="shared" si="128"/>
        <v>346</v>
      </c>
      <c r="D377" s="25">
        <v>3.4795783795082295E-2</v>
      </c>
      <c r="E377" s="2">
        <f t="shared" si="129"/>
        <v>6973.8163484520028</v>
      </c>
      <c r="F377" s="3">
        <f t="shared" si="142"/>
        <v>0.04</v>
      </c>
      <c r="G377" s="2">
        <f t="shared" si="143"/>
        <v>477.41520000000003</v>
      </c>
      <c r="H377" s="2">
        <f t="shared" si="144"/>
        <v>23.24605449484001</v>
      </c>
      <c r="I377" s="2">
        <f t="shared" si="145"/>
        <v>454.16914550516003</v>
      </c>
      <c r="J377" s="2">
        <f t="shared" si="130"/>
        <v>6519.6472029468423</v>
      </c>
      <c r="K377" s="2" t="e">
        <f t="shared" si="149"/>
        <v>#VALUE!</v>
      </c>
      <c r="L377" s="9">
        <v>1.6821425527395739E-3</v>
      </c>
      <c r="M377" s="2" t="e">
        <f t="shared" si="131"/>
        <v>#VALUE!</v>
      </c>
      <c r="N377" s="3">
        <f t="shared" si="132"/>
        <v>0.04</v>
      </c>
      <c r="O377" s="2" t="e">
        <f t="shared" si="133"/>
        <v>#VALUE!</v>
      </c>
      <c r="P377" s="10">
        <f t="shared" si="125"/>
        <v>6.5196472029468419E-2</v>
      </c>
      <c r="Q377" s="13"/>
      <c r="R377" s="2" t="e">
        <f t="shared" si="146"/>
        <v>#VALUE!</v>
      </c>
      <c r="S377" s="2" t="e">
        <f t="shared" si="147"/>
        <v>#VALUE!</v>
      </c>
      <c r="T377" s="2" t="e">
        <f t="shared" ca="1" si="134"/>
        <v>#VALUE!</v>
      </c>
      <c r="U377" s="2" t="e">
        <f t="shared" si="148"/>
        <v>#VALUE!</v>
      </c>
      <c r="V377" s="2" t="e">
        <f t="shared" si="135"/>
        <v>#VALUE!</v>
      </c>
      <c r="W377" s="2">
        <f t="shared" si="136"/>
        <v>477.41520000000003</v>
      </c>
      <c r="X377" s="2" t="e">
        <f t="shared" ca="1" si="137"/>
        <v>#VALUE!</v>
      </c>
      <c r="Y377" s="2" t="e">
        <f t="shared" ca="1" si="138"/>
        <v>#VALUE!</v>
      </c>
      <c r="Z377" s="10">
        <f t="shared" si="139"/>
        <v>0.31618892764025819</v>
      </c>
      <c r="AA377" s="10" t="e">
        <f t="shared" ca="1" si="126"/>
        <v>#VALUE!</v>
      </c>
      <c r="AB377" s="11" t="e">
        <f t="shared" si="140"/>
        <v>#VALUE!</v>
      </c>
      <c r="AC377" s="11" t="e">
        <f>SUM($S$31:S377)/$V$31</f>
        <v>#VALUE!</v>
      </c>
      <c r="AD377" s="11" t="e">
        <f>SUM($S$31:S377,$R$31:R377,$T$31:T377)/$V$31</f>
        <v>#VALUE!</v>
      </c>
      <c r="AE377" s="11" t="e">
        <f>SUM($M$31:M377)/$V$31</f>
        <v>#VALUE!</v>
      </c>
      <c r="AF377" s="11" t="e">
        <f ca="1">SUM(SUM($M$31:M377),-SUM($T$31:T377))/$V$31</f>
        <v>#VALUE!</v>
      </c>
      <c r="AG377">
        <f t="shared" si="127"/>
        <v>120062</v>
      </c>
    </row>
    <row r="378" spans="2:33" x14ac:dyDescent="0.15">
      <c r="B378" s="1">
        <f t="shared" si="141"/>
        <v>347</v>
      </c>
      <c r="C378" s="1">
        <f t="shared" si="128"/>
        <v>347</v>
      </c>
      <c r="D378" s="25">
        <v>3.4773678285010795E-2</v>
      </c>
      <c r="E378" s="2">
        <f t="shared" si="129"/>
        <v>6519.6472029468423</v>
      </c>
      <c r="F378" s="3">
        <f t="shared" si="142"/>
        <v>0.04</v>
      </c>
      <c r="G378" s="2">
        <f t="shared" si="143"/>
        <v>477.4153</v>
      </c>
      <c r="H378" s="2">
        <f t="shared" si="144"/>
        <v>21.732157343156143</v>
      </c>
      <c r="I378" s="2">
        <f t="shared" si="145"/>
        <v>455.68314265684387</v>
      </c>
      <c r="J378" s="2">
        <f t="shared" si="130"/>
        <v>6063.9640602899981</v>
      </c>
      <c r="K378" s="2" t="e">
        <f t="shared" si="149"/>
        <v>#VALUE!</v>
      </c>
      <c r="L378" s="9">
        <v>1.6821425527395739E-3</v>
      </c>
      <c r="M378" s="2" t="e">
        <f t="shared" si="131"/>
        <v>#VALUE!</v>
      </c>
      <c r="N378" s="3">
        <f t="shared" si="132"/>
        <v>0.04</v>
      </c>
      <c r="O378" s="2" t="e">
        <f t="shared" si="133"/>
        <v>#VALUE!</v>
      </c>
      <c r="P378" s="10">
        <f t="shared" si="125"/>
        <v>6.0639640602899982E-2</v>
      </c>
      <c r="Q378" s="13"/>
      <c r="R378" s="2" t="e">
        <f t="shared" si="146"/>
        <v>#VALUE!</v>
      </c>
      <c r="S378" s="2" t="e">
        <f t="shared" si="147"/>
        <v>#VALUE!</v>
      </c>
      <c r="T378" s="2" t="e">
        <f t="shared" ca="1" si="134"/>
        <v>#VALUE!</v>
      </c>
      <c r="U378" s="2" t="e">
        <f t="shared" si="148"/>
        <v>#VALUE!</v>
      </c>
      <c r="V378" s="2" t="e">
        <f t="shared" si="135"/>
        <v>#VALUE!</v>
      </c>
      <c r="W378" s="2">
        <f t="shared" si="136"/>
        <v>477.4153</v>
      </c>
      <c r="X378" s="2" t="e">
        <f t="shared" ca="1" si="137"/>
        <v>#VALUE!</v>
      </c>
      <c r="Y378" s="2" t="e">
        <f t="shared" ca="1" si="138"/>
        <v>#VALUE!</v>
      </c>
      <c r="Z378" s="10">
        <f t="shared" si="139"/>
        <v>0.31513846608690482</v>
      </c>
      <c r="AA378" s="10" t="e">
        <f t="shared" ca="1" si="126"/>
        <v>#VALUE!</v>
      </c>
      <c r="AB378" s="11" t="e">
        <f t="shared" si="140"/>
        <v>#VALUE!</v>
      </c>
      <c r="AC378" s="11" t="e">
        <f>SUM($S$31:S378)/$V$31</f>
        <v>#VALUE!</v>
      </c>
      <c r="AD378" s="11" t="e">
        <f>SUM($S$31:S378,$R$31:R378,$T$31:T378)/$V$31</f>
        <v>#VALUE!</v>
      </c>
      <c r="AE378" s="11" t="e">
        <f>SUM($M$31:M378)/$V$31</f>
        <v>#VALUE!</v>
      </c>
      <c r="AF378" s="11" t="e">
        <f ca="1">SUM(SUM($M$31:M378),-SUM($T$31:T378))/$V$31</f>
        <v>#VALUE!</v>
      </c>
      <c r="AG378">
        <f t="shared" si="127"/>
        <v>120756</v>
      </c>
    </row>
    <row r="379" spans="2:33" x14ac:dyDescent="0.15">
      <c r="B379" s="1">
        <f t="shared" si="141"/>
        <v>348</v>
      </c>
      <c r="C379" s="1">
        <f t="shared" si="128"/>
        <v>348</v>
      </c>
      <c r="D379" s="25">
        <v>3.4748912874899597E-2</v>
      </c>
      <c r="E379" s="2">
        <f t="shared" si="129"/>
        <v>6063.9640602899981</v>
      </c>
      <c r="F379" s="3">
        <f t="shared" si="142"/>
        <v>0.04</v>
      </c>
      <c r="G379" s="2">
        <f t="shared" si="143"/>
        <v>477.41520000000003</v>
      </c>
      <c r="H379" s="2">
        <f t="shared" si="144"/>
        <v>20.213213534299996</v>
      </c>
      <c r="I379" s="2">
        <f t="shared" si="145"/>
        <v>457.20198646570003</v>
      </c>
      <c r="J379" s="2">
        <f t="shared" si="130"/>
        <v>5606.7620738242977</v>
      </c>
      <c r="K379" s="2" t="e">
        <f t="shared" si="149"/>
        <v>#VALUE!</v>
      </c>
      <c r="L379" s="9">
        <v>1.6821425527395739E-3</v>
      </c>
      <c r="M379" s="2" t="e">
        <f t="shared" si="131"/>
        <v>#VALUE!</v>
      </c>
      <c r="N379" s="3">
        <f t="shared" si="132"/>
        <v>0.04</v>
      </c>
      <c r="O379" s="2" t="e">
        <f t="shared" si="133"/>
        <v>#VALUE!</v>
      </c>
      <c r="P379" s="10">
        <f t="shared" si="125"/>
        <v>5.6067620738242979E-2</v>
      </c>
      <c r="Q379" s="13"/>
      <c r="R379" s="2" t="e">
        <f t="shared" si="146"/>
        <v>#VALUE!</v>
      </c>
      <c r="S379" s="2" t="e">
        <f t="shared" si="147"/>
        <v>#VALUE!</v>
      </c>
      <c r="T379" s="2" t="e">
        <f t="shared" ca="1" si="134"/>
        <v>#VALUE!</v>
      </c>
      <c r="U379" s="2" t="e">
        <f t="shared" si="148"/>
        <v>#VALUE!</v>
      </c>
      <c r="V379" s="2" t="e">
        <f t="shared" si="135"/>
        <v>#VALUE!</v>
      </c>
      <c r="W379" s="2">
        <f t="shared" si="136"/>
        <v>477.41520000000003</v>
      </c>
      <c r="X379" s="2" t="e">
        <f t="shared" ca="1" si="137"/>
        <v>#VALUE!</v>
      </c>
      <c r="Y379" s="2" t="e">
        <f t="shared" ca="1" si="138"/>
        <v>#VALUE!</v>
      </c>
      <c r="Z379" s="10">
        <f t="shared" si="139"/>
        <v>0.31409149443904349</v>
      </c>
      <c r="AA379" s="10" t="e">
        <f t="shared" ca="1" si="126"/>
        <v>#VALUE!</v>
      </c>
      <c r="AB379" s="11" t="e">
        <f t="shared" si="140"/>
        <v>#VALUE!</v>
      </c>
      <c r="AC379" s="11" t="e">
        <f>SUM($S$31:S379)/$V$31</f>
        <v>#VALUE!</v>
      </c>
      <c r="AD379" s="11" t="e">
        <f>SUM($S$31:S379,$R$31:R379,$T$31:T379)/$V$31</f>
        <v>#VALUE!</v>
      </c>
      <c r="AE379" s="11" t="e">
        <f>SUM($M$31:M379)/$V$31</f>
        <v>#VALUE!</v>
      </c>
      <c r="AF379" s="11" t="e">
        <f ca="1">SUM(SUM($M$31:M379),-SUM($T$31:T379))/$V$31</f>
        <v>#VALUE!</v>
      </c>
      <c r="AG379">
        <f t="shared" si="127"/>
        <v>121452</v>
      </c>
    </row>
    <row r="380" spans="2:33" x14ac:dyDescent="0.15">
      <c r="B380" s="1">
        <f t="shared" si="141"/>
        <v>349</v>
      </c>
      <c r="C380" s="1">
        <f t="shared" si="128"/>
        <v>349</v>
      </c>
      <c r="D380" s="25">
        <v>3.47197369333824E-2</v>
      </c>
      <c r="E380" s="2">
        <f t="shared" si="129"/>
        <v>5606.7620738242977</v>
      </c>
      <c r="F380" s="3">
        <f t="shared" si="142"/>
        <v>0.04</v>
      </c>
      <c r="G380" s="2">
        <f t="shared" si="143"/>
        <v>477.4153</v>
      </c>
      <c r="H380" s="2">
        <f t="shared" si="144"/>
        <v>18.689206912747661</v>
      </c>
      <c r="I380" s="2">
        <f t="shared" si="145"/>
        <v>458.72609308725237</v>
      </c>
      <c r="J380" s="2">
        <f t="shared" si="130"/>
        <v>5148.0359807370451</v>
      </c>
      <c r="K380" s="2" t="e">
        <f t="shared" si="149"/>
        <v>#VALUE!</v>
      </c>
      <c r="L380" s="9">
        <v>1.6821425527395739E-3</v>
      </c>
      <c r="M380" s="2" t="e">
        <f t="shared" si="131"/>
        <v>#VALUE!</v>
      </c>
      <c r="N380" s="3">
        <f t="shared" si="132"/>
        <v>0.04</v>
      </c>
      <c r="O380" s="2" t="e">
        <f t="shared" si="133"/>
        <v>#VALUE!</v>
      </c>
      <c r="P380" s="10">
        <f t="shared" si="125"/>
        <v>5.1480359807370452E-2</v>
      </c>
      <c r="Q380" s="13"/>
      <c r="R380" s="2" t="e">
        <f t="shared" si="146"/>
        <v>#VALUE!</v>
      </c>
      <c r="S380" s="2" t="e">
        <f t="shared" si="147"/>
        <v>#VALUE!</v>
      </c>
      <c r="T380" s="2" t="e">
        <f t="shared" ca="1" si="134"/>
        <v>#VALUE!</v>
      </c>
      <c r="U380" s="2" t="e">
        <f t="shared" si="148"/>
        <v>#VALUE!</v>
      </c>
      <c r="V380" s="2" t="e">
        <f t="shared" si="135"/>
        <v>#VALUE!</v>
      </c>
      <c r="W380" s="2">
        <f t="shared" si="136"/>
        <v>477.4153</v>
      </c>
      <c r="X380" s="2" t="e">
        <f t="shared" ca="1" si="137"/>
        <v>#VALUE!</v>
      </c>
      <c r="Y380" s="2" t="e">
        <f t="shared" ca="1" si="138"/>
        <v>#VALUE!</v>
      </c>
      <c r="Z380" s="10">
        <f t="shared" si="139"/>
        <v>0.31304800110230369</v>
      </c>
      <c r="AA380" s="10" t="e">
        <f t="shared" ca="1" si="126"/>
        <v>#VALUE!</v>
      </c>
      <c r="AB380" s="11" t="e">
        <f t="shared" si="140"/>
        <v>#VALUE!</v>
      </c>
      <c r="AC380" s="11" t="e">
        <f>SUM($S$31:S380)/$V$31</f>
        <v>#VALUE!</v>
      </c>
      <c r="AD380" s="11" t="e">
        <f>SUM($S$31:S380,$R$31:R380,$T$31:T380)/$V$31</f>
        <v>#VALUE!</v>
      </c>
      <c r="AE380" s="11" t="e">
        <f>SUM($M$31:M380)/$V$31</f>
        <v>#VALUE!</v>
      </c>
      <c r="AF380" s="11" t="e">
        <f ca="1">SUM(SUM($M$31:M380),-SUM($T$31:T380))/$V$31</f>
        <v>#VALUE!</v>
      </c>
      <c r="AG380">
        <f t="shared" si="127"/>
        <v>122150</v>
      </c>
    </row>
    <row r="381" spans="2:33" x14ac:dyDescent="0.15">
      <c r="B381" s="1">
        <f t="shared" si="141"/>
        <v>350</v>
      </c>
      <c r="C381" s="1">
        <f t="shared" si="128"/>
        <v>350</v>
      </c>
      <c r="D381" s="25">
        <v>3.4700187873528396E-2</v>
      </c>
      <c r="E381" s="2">
        <f t="shared" si="129"/>
        <v>5148.0359807370451</v>
      </c>
      <c r="F381" s="3">
        <f t="shared" si="142"/>
        <v>0.04</v>
      </c>
      <c r="G381" s="2">
        <f t="shared" si="143"/>
        <v>477.41520000000003</v>
      </c>
      <c r="H381" s="2">
        <f t="shared" si="144"/>
        <v>17.160119935790153</v>
      </c>
      <c r="I381" s="2">
        <f t="shared" si="145"/>
        <v>460.25508006420989</v>
      </c>
      <c r="J381" s="2">
        <f t="shared" si="130"/>
        <v>4687.7809006728348</v>
      </c>
      <c r="K381" s="2" t="e">
        <f t="shared" si="149"/>
        <v>#VALUE!</v>
      </c>
      <c r="L381" s="9">
        <v>1.6821425527395739E-3</v>
      </c>
      <c r="M381" s="2" t="e">
        <f t="shared" si="131"/>
        <v>#VALUE!</v>
      </c>
      <c r="N381" s="3">
        <f t="shared" si="132"/>
        <v>0.04</v>
      </c>
      <c r="O381" s="2" t="e">
        <f t="shared" si="133"/>
        <v>#VALUE!</v>
      </c>
      <c r="P381" s="10">
        <f t="shared" si="125"/>
        <v>4.6877809006728346E-2</v>
      </c>
      <c r="Q381" s="13"/>
      <c r="R381" s="2" t="e">
        <f t="shared" si="146"/>
        <v>#VALUE!</v>
      </c>
      <c r="S381" s="2" t="e">
        <f t="shared" si="147"/>
        <v>#VALUE!</v>
      </c>
      <c r="T381" s="2" t="e">
        <f t="shared" ca="1" si="134"/>
        <v>#VALUE!</v>
      </c>
      <c r="U381" s="2" t="e">
        <f t="shared" si="148"/>
        <v>#VALUE!</v>
      </c>
      <c r="V381" s="2" t="e">
        <f t="shared" si="135"/>
        <v>#VALUE!</v>
      </c>
      <c r="W381" s="2">
        <f t="shared" si="136"/>
        <v>477.41520000000003</v>
      </c>
      <c r="X381" s="2" t="e">
        <f t="shared" ca="1" si="137"/>
        <v>#VALUE!</v>
      </c>
      <c r="Y381" s="2" t="e">
        <f t="shared" ca="1" si="138"/>
        <v>#VALUE!</v>
      </c>
      <c r="Z381" s="10">
        <f t="shared" si="139"/>
        <v>0.31200797452083445</v>
      </c>
      <c r="AA381" s="10" t="e">
        <f t="shared" ca="1" si="126"/>
        <v>#VALUE!</v>
      </c>
      <c r="AB381" s="11" t="e">
        <f t="shared" si="140"/>
        <v>#VALUE!</v>
      </c>
      <c r="AC381" s="11" t="e">
        <f>SUM($S$31:S381)/$V$31</f>
        <v>#VALUE!</v>
      </c>
      <c r="AD381" s="11" t="e">
        <f>SUM($S$31:S381,$R$31:R381,$T$31:T381)/$V$31</f>
        <v>#VALUE!</v>
      </c>
      <c r="AE381" s="11" t="e">
        <f>SUM($M$31:M381)/$V$31</f>
        <v>#VALUE!</v>
      </c>
      <c r="AF381" s="11" t="e">
        <f ca="1">SUM(SUM($M$31:M381),-SUM($T$31:T381))/$V$31</f>
        <v>#VALUE!</v>
      </c>
      <c r="AG381">
        <f t="shared" si="127"/>
        <v>122850</v>
      </c>
    </row>
    <row r="382" spans="2:33" x14ac:dyDescent="0.15">
      <c r="B382" s="1">
        <f t="shared" si="141"/>
        <v>351</v>
      </c>
      <c r="C382" s="1">
        <f t="shared" si="128"/>
        <v>351</v>
      </c>
      <c r="D382" s="25">
        <v>3.4672495176728504E-2</v>
      </c>
      <c r="E382" s="2">
        <f t="shared" si="129"/>
        <v>4687.7809006728348</v>
      </c>
      <c r="F382" s="3">
        <f t="shared" si="142"/>
        <v>0.04</v>
      </c>
      <c r="G382" s="2">
        <f t="shared" si="143"/>
        <v>477.4153</v>
      </c>
      <c r="H382" s="2">
        <f t="shared" si="144"/>
        <v>15.625936335576117</v>
      </c>
      <c r="I382" s="2">
        <f t="shared" si="145"/>
        <v>461.78936366442389</v>
      </c>
      <c r="J382" s="2">
        <f t="shared" si="130"/>
        <v>4225.9915370084109</v>
      </c>
      <c r="K382" s="2" t="e">
        <f t="shared" si="149"/>
        <v>#VALUE!</v>
      </c>
      <c r="L382" s="9">
        <v>1.6821425527395739E-3</v>
      </c>
      <c r="M382" s="2" t="e">
        <f t="shared" si="131"/>
        <v>#VALUE!</v>
      </c>
      <c r="N382" s="3">
        <f t="shared" si="132"/>
        <v>0.04</v>
      </c>
      <c r="O382" s="2" t="e">
        <f t="shared" si="133"/>
        <v>#VALUE!</v>
      </c>
      <c r="P382" s="10">
        <f t="shared" si="125"/>
        <v>4.2259915370084111E-2</v>
      </c>
      <c r="Q382" s="13"/>
      <c r="R382" s="2" t="e">
        <f t="shared" si="146"/>
        <v>#VALUE!</v>
      </c>
      <c r="S382" s="2" t="e">
        <f t="shared" si="147"/>
        <v>#VALUE!</v>
      </c>
      <c r="T382" s="2" t="e">
        <f t="shared" ca="1" si="134"/>
        <v>#VALUE!</v>
      </c>
      <c r="U382" s="2" t="e">
        <f t="shared" si="148"/>
        <v>#VALUE!</v>
      </c>
      <c r="V382" s="2" t="e">
        <f t="shared" si="135"/>
        <v>#VALUE!</v>
      </c>
      <c r="W382" s="2">
        <f t="shared" si="136"/>
        <v>477.4153</v>
      </c>
      <c r="X382" s="2" t="e">
        <f t="shared" ca="1" si="137"/>
        <v>#VALUE!</v>
      </c>
      <c r="Y382" s="2" t="e">
        <f t="shared" ca="1" si="138"/>
        <v>#VALUE!</v>
      </c>
      <c r="Z382" s="10">
        <f t="shared" si="139"/>
        <v>0.3109714031771767</v>
      </c>
      <c r="AA382" s="10" t="e">
        <f t="shared" ca="1" si="126"/>
        <v>#VALUE!</v>
      </c>
      <c r="AB382" s="11" t="e">
        <f t="shared" si="140"/>
        <v>#VALUE!</v>
      </c>
      <c r="AC382" s="11" t="e">
        <f>SUM($S$31:S382)/$V$31</f>
        <v>#VALUE!</v>
      </c>
      <c r="AD382" s="11" t="e">
        <f>SUM($S$31:S382,$R$31:R382,$T$31:T382)/$V$31</f>
        <v>#VALUE!</v>
      </c>
      <c r="AE382" s="11" t="e">
        <f>SUM($M$31:M382)/$V$31</f>
        <v>#VALUE!</v>
      </c>
      <c r="AF382" s="11" t="e">
        <f ca="1">SUM(SUM($M$31:M382),-SUM($T$31:T382))/$V$31</f>
        <v>#VALUE!</v>
      </c>
      <c r="AG382">
        <f t="shared" si="127"/>
        <v>123552</v>
      </c>
    </row>
    <row r="383" spans="2:33" x14ac:dyDescent="0.15">
      <c r="B383" s="1">
        <f t="shared" si="141"/>
        <v>352</v>
      </c>
      <c r="C383" s="1">
        <f t="shared" si="128"/>
        <v>352</v>
      </c>
      <c r="D383" s="25">
        <v>3.4647618187053301E-2</v>
      </c>
      <c r="E383" s="2">
        <f t="shared" si="129"/>
        <v>4225.9915370084109</v>
      </c>
      <c r="F383" s="3">
        <f t="shared" si="142"/>
        <v>0.04</v>
      </c>
      <c r="G383" s="2">
        <f t="shared" si="143"/>
        <v>477.41520000000003</v>
      </c>
      <c r="H383" s="2">
        <f t="shared" si="144"/>
        <v>14.086638456694704</v>
      </c>
      <c r="I383" s="2">
        <f t="shared" si="145"/>
        <v>463.32856154330534</v>
      </c>
      <c r="J383" s="2">
        <f t="shared" si="130"/>
        <v>3762.6629754651058</v>
      </c>
      <c r="K383" s="2" t="e">
        <f t="shared" si="149"/>
        <v>#VALUE!</v>
      </c>
      <c r="L383" s="9">
        <v>1.6821425527395739E-3</v>
      </c>
      <c r="M383" s="2" t="e">
        <f t="shared" si="131"/>
        <v>#VALUE!</v>
      </c>
      <c r="N383" s="3">
        <f t="shared" si="132"/>
        <v>0.04</v>
      </c>
      <c r="O383" s="2" t="e">
        <f t="shared" si="133"/>
        <v>#VALUE!</v>
      </c>
      <c r="P383" s="10">
        <f t="shared" si="125"/>
        <v>3.7626629754651059E-2</v>
      </c>
      <c r="Q383" s="13"/>
      <c r="R383" s="2" t="e">
        <f t="shared" si="146"/>
        <v>#VALUE!</v>
      </c>
      <c r="S383" s="2" t="e">
        <f t="shared" si="147"/>
        <v>#VALUE!</v>
      </c>
      <c r="T383" s="2" t="e">
        <f t="shared" ca="1" si="134"/>
        <v>#VALUE!</v>
      </c>
      <c r="U383" s="2" t="e">
        <f t="shared" si="148"/>
        <v>#VALUE!</v>
      </c>
      <c r="V383" s="2" t="e">
        <f t="shared" si="135"/>
        <v>#VALUE!</v>
      </c>
      <c r="W383" s="2">
        <f t="shared" si="136"/>
        <v>477.41520000000003</v>
      </c>
      <c r="X383" s="2" t="e">
        <f t="shared" ca="1" si="137"/>
        <v>#VALUE!</v>
      </c>
      <c r="Y383" s="2" t="e">
        <f t="shared" ca="1" si="138"/>
        <v>#VALUE!</v>
      </c>
      <c r="Z383" s="10">
        <f t="shared" si="139"/>
        <v>0.30993827559213477</v>
      </c>
      <c r="AA383" s="10" t="e">
        <f t="shared" ca="1" si="126"/>
        <v>#VALUE!</v>
      </c>
      <c r="AB383" s="11" t="e">
        <f t="shared" si="140"/>
        <v>#VALUE!</v>
      </c>
      <c r="AC383" s="11" t="e">
        <f>SUM($S$31:S383)/$V$31</f>
        <v>#VALUE!</v>
      </c>
      <c r="AD383" s="11" t="e">
        <f>SUM($S$31:S383,$R$31:R383,$T$31:T383)/$V$31</f>
        <v>#VALUE!</v>
      </c>
      <c r="AE383" s="11" t="e">
        <f>SUM($M$31:M383)/$V$31</f>
        <v>#VALUE!</v>
      </c>
      <c r="AF383" s="11" t="e">
        <f ca="1">SUM(SUM($M$31:M383),-SUM($T$31:T383))/$V$31</f>
        <v>#VALUE!</v>
      </c>
      <c r="AG383">
        <f t="shared" si="127"/>
        <v>124256</v>
      </c>
    </row>
    <row r="384" spans="2:33" x14ac:dyDescent="0.15">
      <c r="B384" s="1">
        <f t="shared" si="141"/>
        <v>353</v>
      </c>
      <c r="C384" s="1">
        <f t="shared" si="128"/>
        <v>353</v>
      </c>
      <c r="D384" s="25">
        <v>3.4618815920830499E-2</v>
      </c>
      <c r="E384" s="2">
        <f t="shared" si="129"/>
        <v>3762.6629754651058</v>
      </c>
      <c r="F384" s="3">
        <f t="shared" si="142"/>
        <v>0.04</v>
      </c>
      <c r="G384" s="2">
        <f t="shared" si="143"/>
        <v>477.4153</v>
      </c>
      <c r="H384" s="2">
        <f t="shared" si="144"/>
        <v>12.54220991821702</v>
      </c>
      <c r="I384" s="2">
        <f t="shared" si="145"/>
        <v>464.873090081783</v>
      </c>
      <c r="J384" s="2">
        <f t="shared" si="130"/>
        <v>3297.7898853833226</v>
      </c>
      <c r="K384" s="2" t="e">
        <f t="shared" si="149"/>
        <v>#VALUE!</v>
      </c>
      <c r="L384" s="9">
        <v>1.6821425527395739E-3</v>
      </c>
      <c r="M384" s="2" t="e">
        <f t="shared" si="131"/>
        <v>#VALUE!</v>
      </c>
      <c r="N384" s="3">
        <f t="shared" si="132"/>
        <v>0.04</v>
      </c>
      <c r="O384" s="2" t="e">
        <f t="shared" si="133"/>
        <v>#VALUE!</v>
      </c>
      <c r="P384" s="10">
        <f t="shared" si="125"/>
        <v>3.2977898853833225E-2</v>
      </c>
      <c r="Q384" s="13"/>
      <c r="R384" s="2" t="e">
        <f t="shared" si="146"/>
        <v>#VALUE!</v>
      </c>
      <c r="S384" s="2" t="e">
        <f t="shared" si="147"/>
        <v>#VALUE!</v>
      </c>
      <c r="T384" s="2" t="e">
        <f t="shared" ca="1" si="134"/>
        <v>#VALUE!</v>
      </c>
      <c r="U384" s="2" t="e">
        <f t="shared" si="148"/>
        <v>#VALUE!</v>
      </c>
      <c r="V384" s="2" t="e">
        <f t="shared" si="135"/>
        <v>#VALUE!</v>
      </c>
      <c r="W384" s="2">
        <f t="shared" si="136"/>
        <v>477.4153</v>
      </c>
      <c r="X384" s="2" t="e">
        <f t="shared" ca="1" si="137"/>
        <v>#VALUE!</v>
      </c>
      <c r="Y384" s="2" t="e">
        <f t="shared" ca="1" si="138"/>
        <v>#VALUE!</v>
      </c>
      <c r="Z384" s="10">
        <f t="shared" si="139"/>
        <v>0.30890858032465029</v>
      </c>
      <c r="AA384" s="10" t="e">
        <f t="shared" ca="1" si="126"/>
        <v>#VALUE!</v>
      </c>
      <c r="AB384" s="11" t="e">
        <f t="shared" si="140"/>
        <v>#VALUE!</v>
      </c>
      <c r="AC384" s="11" t="e">
        <f>SUM($S$31:S384)/$V$31</f>
        <v>#VALUE!</v>
      </c>
      <c r="AD384" s="11" t="e">
        <f>SUM($S$31:S384,$R$31:R384,$T$31:T384)/$V$31</f>
        <v>#VALUE!</v>
      </c>
      <c r="AE384" s="11" t="e">
        <f>SUM($M$31:M384)/$V$31</f>
        <v>#VALUE!</v>
      </c>
      <c r="AF384" s="11" t="e">
        <f ca="1">SUM(SUM($M$31:M384),-SUM($T$31:T384))/$V$31</f>
        <v>#VALUE!</v>
      </c>
      <c r="AG384">
        <f t="shared" si="127"/>
        <v>124962</v>
      </c>
    </row>
    <row r="385" spans="2:33" x14ac:dyDescent="0.15">
      <c r="B385" s="1">
        <f t="shared" si="141"/>
        <v>354</v>
      </c>
      <c r="C385" s="1">
        <f t="shared" si="128"/>
        <v>354</v>
      </c>
      <c r="D385" s="25">
        <v>3.4592818990467504E-2</v>
      </c>
      <c r="E385" s="2">
        <f t="shared" si="129"/>
        <v>3297.7898853833226</v>
      </c>
      <c r="F385" s="3">
        <f t="shared" si="142"/>
        <v>0.04</v>
      </c>
      <c r="G385" s="2">
        <f t="shared" si="143"/>
        <v>477.41520000000003</v>
      </c>
      <c r="H385" s="2">
        <f t="shared" si="144"/>
        <v>10.992632951277743</v>
      </c>
      <c r="I385" s="2">
        <f t="shared" si="145"/>
        <v>466.42256704872227</v>
      </c>
      <c r="J385" s="2">
        <f t="shared" si="130"/>
        <v>2831.3673183346004</v>
      </c>
      <c r="K385" s="2" t="e">
        <f t="shared" si="149"/>
        <v>#VALUE!</v>
      </c>
      <c r="L385" s="9">
        <v>1.6821425527395739E-3</v>
      </c>
      <c r="M385" s="2" t="e">
        <f t="shared" si="131"/>
        <v>#VALUE!</v>
      </c>
      <c r="N385" s="3">
        <f t="shared" si="132"/>
        <v>0.04</v>
      </c>
      <c r="O385" s="2" t="e">
        <f t="shared" si="133"/>
        <v>#VALUE!</v>
      </c>
      <c r="P385" s="10">
        <f t="shared" si="125"/>
        <v>2.8313673183346006E-2</v>
      </c>
      <c r="Q385" s="13"/>
      <c r="R385" s="2" t="e">
        <f t="shared" si="146"/>
        <v>#VALUE!</v>
      </c>
      <c r="S385" s="2" t="e">
        <f t="shared" si="147"/>
        <v>#VALUE!</v>
      </c>
      <c r="T385" s="2" t="e">
        <f t="shared" ca="1" si="134"/>
        <v>#VALUE!</v>
      </c>
      <c r="U385" s="2" t="e">
        <f t="shared" si="148"/>
        <v>#VALUE!</v>
      </c>
      <c r="V385" s="2" t="e">
        <f t="shared" si="135"/>
        <v>#VALUE!</v>
      </c>
      <c r="W385" s="2">
        <f t="shared" si="136"/>
        <v>477.41520000000003</v>
      </c>
      <c r="X385" s="2" t="e">
        <f t="shared" ca="1" si="137"/>
        <v>#VALUE!</v>
      </c>
      <c r="Y385" s="2" t="e">
        <f t="shared" ca="1" si="138"/>
        <v>#VALUE!</v>
      </c>
      <c r="Z385" s="10">
        <f t="shared" si="139"/>
        <v>0.30788230597167482</v>
      </c>
      <c r="AA385" s="10" t="e">
        <f t="shared" ca="1" si="126"/>
        <v>#VALUE!</v>
      </c>
      <c r="AB385" s="11" t="e">
        <f t="shared" si="140"/>
        <v>#VALUE!</v>
      </c>
      <c r="AC385" s="11" t="e">
        <f>SUM($S$31:S385)/$V$31</f>
        <v>#VALUE!</v>
      </c>
      <c r="AD385" s="11" t="e">
        <f>SUM($S$31:S385,$R$31:R385,$T$31:T385)/$V$31</f>
        <v>#VALUE!</v>
      </c>
      <c r="AE385" s="11" t="e">
        <f>SUM($M$31:M385)/$V$31</f>
        <v>#VALUE!</v>
      </c>
      <c r="AF385" s="11" t="e">
        <f ca="1">SUM(SUM($M$31:M385),-SUM($T$31:T385))/$V$31</f>
        <v>#VALUE!</v>
      </c>
      <c r="AG385">
        <f t="shared" si="127"/>
        <v>125670</v>
      </c>
    </row>
    <row r="386" spans="2:33" x14ac:dyDescent="0.15">
      <c r="B386" s="1">
        <f t="shared" si="141"/>
        <v>355</v>
      </c>
      <c r="C386" s="1">
        <f t="shared" si="128"/>
        <v>355</v>
      </c>
      <c r="D386" s="25">
        <v>3.4564115812605198E-2</v>
      </c>
      <c r="E386" s="2">
        <f t="shared" si="129"/>
        <v>2831.3673183346004</v>
      </c>
      <c r="F386" s="3">
        <f t="shared" si="142"/>
        <v>0.04</v>
      </c>
      <c r="G386" s="2">
        <f t="shared" si="143"/>
        <v>477.4153</v>
      </c>
      <c r="H386" s="2">
        <f t="shared" si="144"/>
        <v>9.4378910611153355</v>
      </c>
      <c r="I386" s="2">
        <f t="shared" si="145"/>
        <v>467.97740893888465</v>
      </c>
      <c r="J386" s="2">
        <f t="shared" si="130"/>
        <v>2363.3899093957157</v>
      </c>
      <c r="K386" s="2" t="e">
        <f t="shared" si="149"/>
        <v>#VALUE!</v>
      </c>
      <c r="L386" s="9">
        <v>1.6821425527395739E-3</v>
      </c>
      <c r="M386" s="2" t="e">
        <f t="shared" si="131"/>
        <v>#VALUE!</v>
      </c>
      <c r="N386" s="3">
        <f t="shared" si="132"/>
        <v>0.04</v>
      </c>
      <c r="O386" s="2" t="e">
        <f t="shared" si="133"/>
        <v>#VALUE!</v>
      </c>
      <c r="P386" s="10">
        <f t="shared" si="125"/>
        <v>2.3633899093957158E-2</v>
      </c>
      <c r="Q386" s="13"/>
      <c r="R386" s="2" t="e">
        <f t="shared" si="146"/>
        <v>#VALUE!</v>
      </c>
      <c r="S386" s="2" t="e">
        <f t="shared" si="147"/>
        <v>#VALUE!</v>
      </c>
      <c r="T386" s="2" t="e">
        <f t="shared" ca="1" si="134"/>
        <v>#VALUE!</v>
      </c>
      <c r="U386" s="2" t="e">
        <f t="shared" si="148"/>
        <v>#VALUE!</v>
      </c>
      <c r="V386" s="2" t="e">
        <f t="shared" si="135"/>
        <v>#VALUE!</v>
      </c>
      <c r="W386" s="2">
        <f t="shared" si="136"/>
        <v>477.4153</v>
      </c>
      <c r="X386" s="2" t="e">
        <f t="shared" ca="1" si="137"/>
        <v>#VALUE!</v>
      </c>
      <c r="Y386" s="2" t="e">
        <f t="shared" ca="1" si="138"/>
        <v>#VALUE!</v>
      </c>
      <c r="Z386" s="10">
        <f t="shared" si="139"/>
        <v>0.30685944116804392</v>
      </c>
      <c r="AA386" s="10" t="e">
        <f t="shared" ca="1" si="126"/>
        <v>#VALUE!</v>
      </c>
      <c r="AB386" s="11" t="e">
        <f t="shared" si="140"/>
        <v>#VALUE!</v>
      </c>
      <c r="AC386" s="11" t="e">
        <f>SUM($S$31:S386)/$V$31</f>
        <v>#VALUE!</v>
      </c>
      <c r="AD386" s="11" t="e">
        <f>SUM($S$31:S386,$R$31:R386,$T$31:T386)/$V$31</f>
        <v>#VALUE!</v>
      </c>
      <c r="AE386" s="11" t="e">
        <f>SUM($M$31:M386)/$V$31</f>
        <v>#VALUE!</v>
      </c>
      <c r="AF386" s="11" t="e">
        <f ca="1">SUM(SUM($M$31:M386),-SUM($T$31:T386))/$V$31</f>
        <v>#VALUE!</v>
      </c>
      <c r="AG386">
        <f t="shared" si="127"/>
        <v>126380</v>
      </c>
    </row>
    <row r="387" spans="2:33" x14ac:dyDescent="0.15">
      <c r="B387" s="1">
        <f t="shared" si="141"/>
        <v>356</v>
      </c>
      <c r="C387" s="1">
        <f t="shared" si="128"/>
        <v>356</v>
      </c>
      <c r="D387" s="25">
        <v>3.45336405183383E-2</v>
      </c>
      <c r="E387" s="2">
        <f t="shared" si="129"/>
        <v>2363.3899093957157</v>
      </c>
      <c r="F387" s="3">
        <f t="shared" si="142"/>
        <v>0.04</v>
      </c>
      <c r="G387" s="2">
        <f t="shared" si="143"/>
        <v>477.41520000000003</v>
      </c>
      <c r="H387" s="2">
        <f t="shared" si="144"/>
        <v>7.8779663646523863</v>
      </c>
      <c r="I387" s="2">
        <f t="shared" si="145"/>
        <v>469.53723363534766</v>
      </c>
      <c r="J387" s="2">
        <f t="shared" si="130"/>
        <v>1893.8526757603681</v>
      </c>
      <c r="K387" s="2" t="e">
        <f t="shared" si="149"/>
        <v>#VALUE!</v>
      </c>
      <c r="L387" s="9">
        <v>1.6821425527395739E-3</v>
      </c>
      <c r="M387" s="2" t="e">
        <f t="shared" si="131"/>
        <v>#VALUE!</v>
      </c>
      <c r="N387" s="3">
        <f t="shared" si="132"/>
        <v>0.04</v>
      </c>
      <c r="O387" s="2" t="e">
        <f t="shared" si="133"/>
        <v>#VALUE!</v>
      </c>
      <c r="P387" s="10">
        <f t="shared" si="125"/>
        <v>1.8938526757603682E-2</v>
      </c>
      <c r="Q387" s="13"/>
      <c r="R387" s="2" t="e">
        <f t="shared" si="146"/>
        <v>#VALUE!</v>
      </c>
      <c r="S387" s="2" t="e">
        <f t="shared" si="147"/>
        <v>#VALUE!</v>
      </c>
      <c r="T387" s="2" t="e">
        <f t="shared" ca="1" si="134"/>
        <v>#VALUE!</v>
      </c>
      <c r="U387" s="2" t="e">
        <f t="shared" si="148"/>
        <v>#VALUE!</v>
      </c>
      <c r="V387" s="2" t="e">
        <f t="shared" si="135"/>
        <v>#VALUE!</v>
      </c>
      <c r="W387" s="2">
        <f t="shared" si="136"/>
        <v>477.41520000000003</v>
      </c>
      <c r="X387" s="2" t="e">
        <f t="shared" ca="1" si="137"/>
        <v>#VALUE!</v>
      </c>
      <c r="Y387" s="2" t="e">
        <f t="shared" ca="1" si="138"/>
        <v>#VALUE!</v>
      </c>
      <c r="Z387" s="10">
        <f t="shared" si="139"/>
        <v>0.30583997458635115</v>
      </c>
      <c r="AA387" s="10" t="e">
        <f t="shared" ca="1" si="126"/>
        <v>#VALUE!</v>
      </c>
      <c r="AB387" s="11" t="e">
        <f t="shared" si="140"/>
        <v>#VALUE!</v>
      </c>
      <c r="AC387" s="11" t="e">
        <f>SUM($S$31:S387)/$V$31</f>
        <v>#VALUE!</v>
      </c>
      <c r="AD387" s="11" t="e">
        <f>SUM($S$31:S387,$R$31:R387,$T$31:T387)/$V$31</f>
        <v>#VALUE!</v>
      </c>
      <c r="AE387" s="11" t="e">
        <f>SUM($M$31:M387)/$V$31</f>
        <v>#VALUE!</v>
      </c>
      <c r="AF387" s="11" t="e">
        <f ca="1">SUM(SUM($M$31:M387),-SUM($T$31:T387))/$V$31</f>
        <v>#VALUE!</v>
      </c>
      <c r="AG387">
        <f t="shared" si="127"/>
        <v>127092</v>
      </c>
    </row>
    <row r="388" spans="2:33" x14ac:dyDescent="0.15">
      <c r="B388" s="1">
        <f t="shared" si="141"/>
        <v>357</v>
      </c>
      <c r="C388" s="1">
        <f t="shared" si="128"/>
        <v>357</v>
      </c>
      <c r="D388" s="25">
        <v>3.45059541361157E-2</v>
      </c>
      <c r="E388" s="2">
        <f t="shared" si="129"/>
        <v>1893.8526757603681</v>
      </c>
      <c r="F388" s="3">
        <f t="shared" si="142"/>
        <v>0.04</v>
      </c>
      <c r="G388" s="2">
        <f t="shared" si="143"/>
        <v>477.4153</v>
      </c>
      <c r="H388" s="2">
        <f t="shared" si="144"/>
        <v>6.3128422525345611</v>
      </c>
      <c r="I388" s="2">
        <f t="shared" si="145"/>
        <v>471.10245774746545</v>
      </c>
      <c r="J388" s="2">
        <f t="shared" si="130"/>
        <v>1422.7502180129027</v>
      </c>
      <c r="K388" s="2" t="e">
        <f t="shared" si="149"/>
        <v>#VALUE!</v>
      </c>
      <c r="L388" s="9">
        <v>1.6821425527395739E-3</v>
      </c>
      <c r="M388" s="2" t="e">
        <f t="shared" si="131"/>
        <v>#VALUE!</v>
      </c>
      <c r="N388" s="3">
        <f t="shared" si="132"/>
        <v>0.04</v>
      </c>
      <c r="O388" s="2" t="e">
        <f t="shared" si="133"/>
        <v>#VALUE!</v>
      </c>
      <c r="P388" s="10">
        <f t="shared" si="125"/>
        <v>1.4227502180129028E-2</v>
      </c>
      <c r="Q388" s="13"/>
      <c r="R388" s="2" t="e">
        <f t="shared" si="146"/>
        <v>#VALUE!</v>
      </c>
      <c r="S388" s="2" t="e">
        <f t="shared" si="147"/>
        <v>#VALUE!</v>
      </c>
      <c r="T388" s="2" t="e">
        <f t="shared" ca="1" si="134"/>
        <v>#VALUE!</v>
      </c>
      <c r="U388" s="2" t="e">
        <f t="shared" si="148"/>
        <v>#VALUE!</v>
      </c>
      <c r="V388" s="2" t="e">
        <f t="shared" si="135"/>
        <v>#VALUE!</v>
      </c>
      <c r="W388" s="2">
        <f t="shared" si="136"/>
        <v>477.4153</v>
      </c>
      <c r="X388" s="2" t="e">
        <f t="shared" ca="1" si="137"/>
        <v>#VALUE!</v>
      </c>
      <c r="Y388" s="2" t="e">
        <f t="shared" ca="1" si="138"/>
        <v>#VALUE!</v>
      </c>
      <c r="Z388" s="10">
        <f t="shared" si="139"/>
        <v>0.30482389493682255</v>
      </c>
      <c r="AA388" s="10" t="e">
        <f t="shared" ca="1" si="126"/>
        <v>#VALUE!</v>
      </c>
      <c r="AB388" s="11" t="e">
        <f t="shared" si="140"/>
        <v>#VALUE!</v>
      </c>
      <c r="AC388" s="11" t="e">
        <f>SUM($S$31:S388)/$V$31</f>
        <v>#VALUE!</v>
      </c>
      <c r="AD388" s="11" t="e">
        <f>SUM($S$31:S388,$R$31:R388,$T$31:T388)/$V$31</f>
        <v>#VALUE!</v>
      </c>
      <c r="AE388" s="11" t="e">
        <f>SUM($M$31:M388)/$V$31</f>
        <v>#VALUE!</v>
      </c>
      <c r="AF388" s="11" t="e">
        <f ca="1">SUM(SUM($M$31:M388),-SUM($T$31:T388))/$V$31</f>
        <v>#VALUE!</v>
      </c>
      <c r="AG388">
        <f t="shared" si="127"/>
        <v>127806</v>
      </c>
    </row>
    <row r="389" spans="2:33" x14ac:dyDescent="0.15">
      <c r="B389" s="1">
        <f t="shared" si="141"/>
        <v>358</v>
      </c>
      <c r="C389" s="1">
        <f t="shared" si="128"/>
        <v>358</v>
      </c>
      <c r="D389" s="25">
        <v>3.4474369830004299E-2</v>
      </c>
      <c r="E389" s="2">
        <f t="shared" si="129"/>
        <v>1422.7502180129027</v>
      </c>
      <c r="F389" s="3">
        <f t="shared" si="142"/>
        <v>0.04</v>
      </c>
      <c r="G389" s="2">
        <f t="shared" si="143"/>
        <v>477.41520000000003</v>
      </c>
      <c r="H389" s="2">
        <f t="shared" si="144"/>
        <v>4.7425007267096762</v>
      </c>
      <c r="I389" s="2">
        <f t="shared" si="145"/>
        <v>472.67269927329033</v>
      </c>
      <c r="J389" s="2">
        <f t="shared" si="130"/>
        <v>950.07751873961229</v>
      </c>
      <c r="K389" s="2" t="e">
        <f t="shared" si="149"/>
        <v>#VALUE!</v>
      </c>
      <c r="L389" s="9">
        <v>1.6821425527395739E-3</v>
      </c>
      <c r="M389" s="2" t="e">
        <f t="shared" si="131"/>
        <v>#VALUE!</v>
      </c>
      <c r="N389" s="3">
        <f t="shared" si="132"/>
        <v>0.04</v>
      </c>
      <c r="O389" s="2" t="e">
        <f t="shared" si="133"/>
        <v>#VALUE!</v>
      </c>
      <c r="P389" s="10">
        <f t="shared" si="125"/>
        <v>9.5007751873961224E-3</v>
      </c>
      <c r="Q389" s="13"/>
      <c r="R389" s="2" t="e">
        <f t="shared" si="146"/>
        <v>#VALUE!</v>
      </c>
      <c r="S389" s="2" t="e">
        <f t="shared" si="147"/>
        <v>#VALUE!</v>
      </c>
      <c r="T389" s="2" t="e">
        <f t="shared" ca="1" si="134"/>
        <v>#VALUE!</v>
      </c>
      <c r="U389" s="2" t="e">
        <f t="shared" si="148"/>
        <v>#VALUE!</v>
      </c>
      <c r="V389" s="2" t="e">
        <f t="shared" si="135"/>
        <v>#VALUE!</v>
      </c>
      <c r="W389" s="2">
        <f t="shared" si="136"/>
        <v>477.41520000000003</v>
      </c>
      <c r="X389" s="2" t="e">
        <f t="shared" ca="1" si="137"/>
        <v>#VALUE!</v>
      </c>
      <c r="Y389" s="2" t="e">
        <f t="shared" ca="1" si="138"/>
        <v>#VALUE!</v>
      </c>
      <c r="Z389" s="10">
        <f t="shared" si="139"/>
        <v>0.30381119096719184</v>
      </c>
      <c r="AA389" s="10" t="e">
        <f t="shared" ca="1" si="126"/>
        <v>#VALUE!</v>
      </c>
      <c r="AB389" s="11" t="e">
        <f t="shared" si="140"/>
        <v>#VALUE!</v>
      </c>
      <c r="AC389" s="11" t="e">
        <f>SUM($S$31:S389)/$V$31</f>
        <v>#VALUE!</v>
      </c>
      <c r="AD389" s="11" t="e">
        <f>SUM($S$31:S389,$R$31:R389,$T$31:T389)/$V$31</f>
        <v>#VALUE!</v>
      </c>
      <c r="AE389" s="11" t="e">
        <f>SUM($M$31:M389)/$V$31</f>
        <v>#VALUE!</v>
      </c>
      <c r="AF389" s="11" t="e">
        <f ca="1">SUM(SUM($M$31:M389),-SUM($T$31:T389))/$V$31</f>
        <v>#VALUE!</v>
      </c>
      <c r="AG389">
        <f t="shared" si="127"/>
        <v>128522</v>
      </c>
    </row>
    <row r="390" spans="2:33" x14ac:dyDescent="0.15">
      <c r="B390" s="1">
        <f t="shared" si="141"/>
        <v>359</v>
      </c>
      <c r="C390" s="1">
        <f t="shared" si="128"/>
        <v>359</v>
      </c>
      <c r="D390" s="25">
        <v>3.4445563030869701E-2</v>
      </c>
      <c r="E390" s="2">
        <f t="shared" si="129"/>
        <v>950.07751873961229</v>
      </c>
      <c r="F390" s="3">
        <f t="shared" si="142"/>
        <v>0.04</v>
      </c>
      <c r="G390" s="2">
        <f t="shared" si="143"/>
        <v>477.4153</v>
      </c>
      <c r="H390" s="2">
        <f t="shared" si="144"/>
        <v>3.1669250624653746</v>
      </c>
      <c r="I390" s="2">
        <f t="shared" si="145"/>
        <v>474.24837493753461</v>
      </c>
      <c r="J390" s="2">
        <f t="shared" si="130"/>
        <v>475.82914380207768</v>
      </c>
      <c r="K390" s="2" t="e">
        <f t="shared" si="149"/>
        <v>#VALUE!</v>
      </c>
      <c r="L390" s="9">
        <v>1.6821425527395739E-3</v>
      </c>
      <c r="M390" s="2" t="e">
        <f t="shared" si="131"/>
        <v>#VALUE!</v>
      </c>
      <c r="N390" s="3">
        <f t="shared" si="132"/>
        <v>0.04</v>
      </c>
      <c r="O390" s="2" t="e">
        <f t="shared" si="133"/>
        <v>#VALUE!</v>
      </c>
      <c r="P390" s="10">
        <f t="shared" si="125"/>
        <v>4.7582914380207772E-3</v>
      </c>
      <c r="Q390" s="13"/>
      <c r="R390" s="2" t="e">
        <f t="shared" si="146"/>
        <v>#VALUE!</v>
      </c>
      <c r="S390" s="2" t="e">
        <f t="shared" si="147"/>
        <v>#VALUE!</v>
      </c>
      <c r="T390" s="2" t="e">
        <f t="shared" ca="1" si="134"/>
        <v>#VALUE!</v>
      </c>
      <c r="U390" s="2" t="e">
        <f t="shared" si="148"/>
        <v>#VALUE!</v>
      </c>
      <c r="V390" s="2" t="e">
        <f t="shared" si="135"/>
        <v>#VALUE!</v>
      </c>
      <c r="W390" s="2">
        <f t="shared" si="136"/>
        <v>477.4153</v>
      </c>
      <c r="X390" s="2" t="e">
        <f t="shared" ca="1" si="137"/>
        <v>#VALUE!</v>
      </c>
      <c r="Y390" s="2" t="e">
        <f t="shared" ca="1" si="138"/>
        <v>#VALUE!</v>
      </c>
      <c r="Z390" s="10">
        <f t="shared" si="139"/>
        <v>0.30280185146257566</v>
      </c>
      <c r="AA390" s="10" t="e">
        <f t="shared" ca="1" si="126"/>
        <v>#VALUE!</v>
      </c>
      <c r="AB390" s="11" t="e">
        <f t="shared" si="140"/>
        <v>#VALUE!</v>
      </c>
      <c r="AC390" s="11" t="e">
        <f>SUM($S$31:S390)/$V$31</f>
        <v>#VALUE!</v>
      </c>
      <c r="AD390" s="11" t="e">
        <f>SUM($S$31:S390,$R$31:R390,$T$31:T390)/$V$31</f>
        <v>#VALUE!</v>
      </c>
      <c r="AE390" s="11" t="e">
        <f>SUM($M$31:M390)/$V$31</f>
        <v>#VALUE!</v>
      </c>
      <c r="AF390" s="11" t="e">
        <f ca="1">SUM(SUM($M$31:M390),-SUM($T$31:T390))/$V$31</f>
        <v>#VALUE!</v>
      </c>
      <c r="AG390">
        <f t="shared" si="127"/>
        <v>129240</v>
      </c>
    </row>
    <row r="391" spans="2:33" x14ac:dyDescent="0.15">
      <c r="B391" s="1">
        <f t="shared" si="141"/>
        <v>360</v>
      </c>
      <c r="C391" s="1">
        <f t="shared" si="128"/>
        <v>360</v>
      </c>
      <c r="D391" s="25">
        <f>D390</f>
        <v>3.4445563030869701E-2</v>
      </c>
      <c r="E391" s="2">
        <f t="shared" si="129"/>
        <v>475.82914380207768</v>
      </c>
      <c r="F391" s="3">
        <f t="shared" si="142"/>
        <v>0.04</v>
      </c>
      <c r="G391" s="2">
        <f t="shared" si="143"/>
        <v>477.41520000000003</v>
      </c>
      <c r="H391" s="2">
        <f t="shared" si="144"/>
        <v>1.5860971460069258</v>
      </c>
      <c r="I391" s="2">
        <f t="shared" si="145"/>
        <v>475.82910285399311</v>
      </c>
      <c r="J391" s="2">
        <f t="shared" si="130"/>
        <v>4.09480845746657E-5</v>
      </c>
      <c r="K391" s="2" t="e">
        <f t="shared" si="149"/>
        <v>#VALUE!</v>
      </c>
      <c r="L391" s="9">
        <v>1.6821425527395739E-3</v>
      </c>
      <c r="M391" s="2" t="e">
        <f t="shared" si="131"/>
        <v>#VALUE!</v>
      </c>
      <c r="N391" s="3">
        <f t="shared" si="132"/>
        <v>0.04</v>
      </c>
      <c r="O391" s="2" t="e">
        <f t="shared" si="133"/>
        <v>#VALUE!</v>
      </c>
      <c r="P391" s="10">
        <f t="shared" si="125"/>
        <v>4.0948084574665702E-10</v>
      </c>
      <c r="Q391" s="13"/>
      <c r="R391" s="2" t="e">
        <f t="shared" si="146"/>
        <v>#VALUE!</v>
      </c>
      <c r="S391" s="2" t="e">
        <f t="shared" si="147"/>
        <v>#VALUE!</v>
      </c>
      <c r="T391" s="2" t="e">
        <f t="shared" ca="1" si="134"/>
        <v>#VALUE!</v>
      </c>
      <c r="U391" s="2" t="e">
        <f t="shared" si="148"/>
        <v>#VALUE!</v>
      </c>
      <c r="V391" s="2" t="e">
        <f t="shared" si="135"/>
        <v>#VALUE!</v>
      </c>
      <c r="W391" s="2">
        <f t="shared" si="136"/>
        <v>477.41520000000003</v>
      </c>
      <c r="X391" s="2" t="e">
        <f t="shared" ca="1" si="137"/>
        <v>#VALUE!</v>
      </c>
      <c r="Y391" s="2" t="e">
        <f t="shared" ca="1" si="138"/>
        <v>#VALUE!</v>
      </c>
      <c r="Z391" s="10">
        <f t="shared" si="139"/>
        <v>0.30179586524534946</v>
      </c>
      <c r="AA391" s="10" t="e">
        <f t="shared" ca="1" si="126"/>
        <v>#VALUE!</v>
      </c>
      <c r="AB391" s="11" t="e">
        <f t="shared" si="140"/>
        <v>#VALUE!</v>
      </c>
      <c r="AC391" s="11" t="e">
        <f>SUM($S$31:S391)/$V$31</f>
        <v>#VALUE!</v>
      </c>
      <c r="AD391" s="11" t="e">
        <f>SUM($S$31:S391,$R$31:R391,$T$31:T391)/$V$31</f>
        <v>#VALUE!</v>
      </c>
      <c r="AE391" s="11" t="e">
        <f>SUM($M$31:M391)/$V$31</f>
        <v>#VALUE!</v>
      </c>
      <c r="AF391" s="11" t="e">
        <f ca="1">SUM(SUM($M$31:M391),-SUM($T$31:T391))/$V$31</f>
        <v>#VALUE!</v>
      </c>
      <c r="AG391">
        <f t="shared" si="127"/>
        <v>129960</v>
      </c>
    </row>
    <row r="572" spans="1:1" x14ac:dyDescent="0.15">
      <c r="A572">
        <v>7</v>
      </c>
    </row>
  </sheetData>
  <dataValidations count="3">
    <dataValidation type="list" allowBlank="1" showInputMessage="1" showErrorMessage="1" sqref="G4" xr:uid="{00000000-0002-0000-0000-000000000000}">
      <formula1>"Fixed,LIBOR"</formula1>
    </dataValidation>
    <dataValidation type="list" allowBlank="1" showInputMessage="1" showErrorMessage="1" sqref="P4" xr:uid="{00000000-0002-0000-0000-000001000000}">
      <formula1>"CDR,SDA"</formula1>
    </dataValidation>
    <dataValidation type="list" allowBlank="1" showInputMessage="1" showErrorMessage="1" sqref="N4" xr:uid="{00000000-0002-0000-0000-000002000000}">
      <formula1>"CPR,PSA"</formula1>
    </dataValidation>
  </dataValidation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1025" r:id="rId4">
          <objectPr defaultSize="0" autoPict="0" r:id="rId5">
            <anchor moveWithCells="1" sizeWithCells="1">
              <from>
                <xdr:col>22</xdr:col>
                <xdr:colOff>38100</xdr:colOff>
                <xdr:row>19</xdr:row>
                <xdr:rowOff>25400</xdr:rowOff>
              </from>
              <to>
                <xdr:col>24</xdr:col>
                <xdr:colOff>215900</xdr:colOff>
                <xdr:row>24</xdr:row>
                <xdr:rowOff>114300</xdr:rowOff>
              </to>
            </anchor>
          </objectPr>
        </oleObject>
      </mc:Choice>
      <mc:Fallback>
        <oleObject progId="Equation.3" shapeId="1025" r:id="rId4"/>
      </mc:Fallback>
    </mc:AlternateContent>
    <mc:AlternateContent xmlns:mc="http://schemas.openxmlformats.org/markup-compatibility/2006">
      <mc:Choice Requires="x14">
        <oleObject progId="Equation.3" shapeId="1026" r:id="rId6">
          <objectPr defaultSize="0" autoPict="0" r:id="rId7">
            <anchor moveWithCells="1">
              <from>
                <xdr:col>23</xdr:col>
                <xdr:colOff>977900</xdr:colOff>
                <xdr:row>13</xdr:row>
                <xdr:rowOff>50800</xdr:rowOff>
              </from>
              <to>
                <xdr:col>25</xdr:col>
                <xdr:colOff>63500</xdr:colOff>
                <xdr:row>17</xdr:row>
                <xdr:rowOff>0</xdr:rowOff>
              </to>
            </anchor>
          </objectPr>
        </oleObject>
      </mc:Choice>
      <mc:Fallback>
        <oleObject progId="Equation.3" shapeId="1026" r:id="rId6"/>
      </mc:Fallback>
    </mc:AlternateContent>
    <mc:AlternateContent xmlns:mc="http://schemas.openxmlformats.org/markup-compatibility/2006">
      <mc:Choice Requires="x14">
        <oleObject progId="Equation.3" shapeId="1027" r:id="rId8">
          <objectPr defaultSize="0" autoPict="0" r:id="rId9">
            <anchor moveWithCells="1">
              <from>
                <xdr:col>22</xdr:col>
                <xdr:colOff>63500</xdr:colOff>
                <xdr:row>12</xdr:row>
                <xdr:rowOff>88900</xdr:rowOff>
              </from>
              <to>
                <xdr:col>23</xdr:col>
                <xdr:colOff>762000</xdr:colOff>
                <xdr:row>18</xdr:row>
                <xdr:rowOff>0</xdr:rowOff>
              </to>
            </anchor>
          </objectPr>
        </oleObject>
      </mc:Choice>
      <mc:Fallback>
        <oleObject progId="Equation.3" shapeId="1027" r:id="rId8"/>
      </mc:Fallback>
    </mc:AlternateContent>
    <mc:AlternateContent xmlns:mc="http://schemas.openxmlformats.org/markup-compatibility/2006">
      <mc:Choice Requires="x14">
        <oleObject progId="Equation.3" shapeId="1030" r:id="rId10">
          <objectPr defaultSize="0" autoPict="0" r:id="rId11">
            <anchor moveWithCells="1">
              <from>
                <xdr:col>3</xdr:col>
                <xdr:colOff>215900</xdr:colOff>
                <xdr:row>16</xdr:row>
                <xdr:rowOff>25400</xdr:rowOff>
              </from>
              <to>
                <xdr:col>5</xdr:col>
                <xdr:colOff>444500</xdr:colOff>
                <xdr:row>24</xdr:row>
                <xdr:rowOff>25400</xdr:rowOff>
              </to>
            </anchor>
          </objectPr>
        </oleObject>
      </mc:Choice>
      <mc:Fallback>
        <oleObject progId="Equation.3" shapeId="1030" r:id="rId10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baseColWidth="10" defaultColWidth="9" defaultRowHeight="12" x14ac:dyDescent="0.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baseColWidth="10" defaultColWidth="9" defaultRowHeight="12" x14ac:dyDescent="0.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Merrill</dc:creator>
  <cp:lastModifiedBy>Charles Merrill</cp:lastModifiedBy>
  <dcterms:created xsi:type="dcterms:W3CDTF">2013-01-30T16:30:39Z</dcterms:created>
  <dcterms:modified xsi:type="dcterms:W3CDTF">2026-02-06T06:47:42Z</dcterms:modified>
</cp:coreProperties>
</file>