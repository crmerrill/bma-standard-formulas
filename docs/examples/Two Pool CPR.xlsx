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merrill/Developer/laminarcf/tests/laminarcf/bma_compliance/docs/examples/"/>
    </mc:Choice>
  </mc:AlternateContent>
  <xr:revisionPtr revIDLastSave="0" documentId="13_ncr:1_{6F0A3C55-9ADD-D240-B19B-78B8DD209CB0}" xr6:coauthVersionLast="47" xr6:coauthVersionMax="47" xr10:uidLastSave="{00000000-0000-0000-0000-000000000000}"/>
  <bookViews>
    <workbookView xWindow="780" yWindow="760" windowWidth="37320" windowHeight="18020" xr2:uid="{6E4BD89A-63DE-104E-9053-978019CBA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2" i="1"/>
  <c r="J33" i="1"/>
  <c r="J29" i="1"/>
  <c r="J30" i="1" s="1"/>
  <c r="J31" i="1" s="1"/>
  <c r="J28" i="1"/>
  <c r="J22" i="1"/>
  <c r="J23" i="1"/>
  <c r="J25" i="1"/>
  <c r="J24" i="1"/>
  <c r="J13" i="1"/>
  <c r="J15" i="1"/>
  <c r="J14" i="1"/>
  <c r="J17" i="1"/>
  <c r="J16" i="1"/>
  <c r="J9" i="1"/>
  <c r="J8" i="1"/>
  <c r="J7" i="1"/>
  <c r="J6" i="1"/>
  <c r="J5" i="1"/>
  <c r="H33" i="1"/>
  <c r="I33" i="1"/>
  <c r="I16" i="1"/>
  <c r="H16" i="1"/>
  <c r="I20" i="1"/>
  <c r="H20" i="1"/>
  <c r="I12" i="1"/>
  <c r="H12" i="1"/>
  <c r="I9" i="1"/>
  <c r="H9" i="1"/>
  <c r="I24" i="1"/>
  <c r="H24" i="1"/>
  <c r="J34" i="1" l="1"/>
  <c r="J35" i="1" s="1"/>
  <c r="J36" i="1" s="1"/>
  <c r="J21" i="1"/>
  <c r="I34" i="1"/>
  <c r="I21" i="1"/>
  <c r="H34" i="1"/>
  <c r="H21" i="1"/>
  <c r="I29" i="1"/>
  <c r="I13" i="1"/>
  <c r="I15" i="1" s="1"/>
  <c r="I17" i="1" s="1"/>
  <c r="H29" i="1"/>
  <c r="H13" i="1"/>
  <c r="H15" i="1" s="1"/>
  <c r="H17" i="1" s="1"/>
  <c r="I30" i="1" l="1"/>
  <c r="I31" i="1" s="1"/>
  <c r="I28" i="1"/>
  <c r="H28" i="1"/>
  <c r="H30" i="1"/>
  <c r="H31" i="1" s="1"/>
  <c r="H23" i="1"/>
  <c r="H25" i="1" s="1"/>
  <c r="I23" i="1"/>
  <c r="I25" i="1" s="1"/>
  <c r="H35" i="1" l="1"/>
  <c r="H36" i="1" s="1"/>
  <c r="I35" i="1"/>
  <c r="I36" i="1" s="1"/>
</calcChain>
</file>

<file path=xl/sharedStrings.xml><?xml version="1.0" encoding="utf-8"?>
<sst xmlns="http://schemas.openxmlformats.org/spreadsheetml/2006/main" count="31" uniqueCount="30">
  <si>
    <t>OrigBal</t>
  </si>
  <si>
    <t xml:space="preserve">OrigTerm </t>
  </si>
  <si>
    <t>Pd1RemTerm</t>
  </si>
  <si>
    <t>Pd2RemTerm</t>
  </si>
  <si>
    <t>Loan 1</t>
  </si>
  <si>
    <t>Loan 2</t>
  </si>
  <si>
    <t>Combination</t>
  </si>
  <si>
    <t>Pd1ActFactor</t>
  </si>
  <si>
    <t>Pd1SchFactor</t>
  </si>
  <si>
    <t>Pd1Age</t>
  </si>
  <si>
    <t>Pd2Age</t>
  </si>
  <si>
    <t>Pd2SchFactor</t>
  </si>
  <si>
    <t>Pd2ActFactor</t>
  </si>
  <si>
    <t>OrigGrossRate</t>
  </si>
  <si>
    <t>OrigNetRate</t>
  </si>
  <si>
    <t>Pd1Prepay</t>
  </si>
  <si>
    <t>Pd1Mos</t>
  </si>
  <si>
    <t>Pd1SMM</t>
  </si>
  <si>
    <t>Pd2Prepay</t>
  </si>
  <si>
    <t>Pd2Mos</t>
  </si>
  <si>
    <t>Pd2SMM</t>
  </si>
  <si>
    <t>Svc Fee</t>
  </si>
  <si>
    <t>OrigDate</t>
  </si>
  <si>
    <t>Pd1Date</t>
  </si>
  <si>
    <t>Pd2Date</t>
  </si>
  <si>
    <t>Pd1CurrBal</t>
  </si>
  <si>
    <t>Pd1SchBal</t>
  </si>
  <si>
    <t>Pd2SchBal</t>
  </si>
  <si>
    <t>CPR_PD0&gt;&gt;PD1</t>
  </si>
  <si>
    <t>CPR_PD1&gt;&gt;PD2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</si>
</sst>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0.000%"/>
    <numFmt numFmtId="166" formatCode="0&quot; mos&quot;"/>
    <numFmt numFmtId="167" formatCode="0.00000000"/>
    <numFmt numFmtId="168" formatCode="0.0&quot; mos&quot;"/>
    <numFmt numFmtId="169" formatCode="0.00&quot; mos&quot;"/>
    <numFmt numFmtId="170" formatCode="_(* #,##0.0000000_);_(* \(#,##0.0000000\);_(* &quot;-&quot;??_);_(@_)"/>
    <numFmt numFmtId="171" formatCode="_(* #,##0.000000000_);_(* \(#,##0.0000000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54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0" fillId="0" borderId="0" xfId="0" applyNumberFormat="1"/>
    <xf numFmtId="43" fontId="0" fillId="0" borderId="0" xfId="1" applyFont="1"/>
    <xf numFmtId="165" fontId="2" fillId="0" borderId="0" xfId="0" applyNumberFormat="1" applyFont="1"/>
    <xf numFmtId="165" fontId="0" fillId="0" borderId="0" xfId="0" applyNumberFormat="1"/>
    <xf numFmtId="14" fontId="4" fillId="0" borderId="0" xfId="0" applyNumberFormat="1" applyFont="1"/>
    <xf numFmtId="14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167" fontId="0" fillId="0" borderId="0" xfId="0" applyNumberFormat="1"/>
    <xf numFmtId="43" fontId="0" fillId="0" borderId="0" xfId="0" applyNumberFormat="1"/>
    <xf numFmtId="167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5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40A7-D5DD-7140-8F69-F2727B33AECE}">
  <dimension ref="G3:K36"/>
  <sheetViews>
    <sheetView tabSelected="1" topLeftCell="B2" workbookViewId="0">
      <selection activeCell="H21" sqref="H21"/>
    </sheetView>
  </sheetViews>
  <sheetFormatPr baseColWidth="10" defaultRowHeight="16" x14ac:dyDescent="0.2"/>
  <cols>
    <col min="7" max="7" width="14.6640625" customWidth="1"/>
    <col min="8" max="8" width="12.6640625" bestFit="1" customWidth="1"/>
    <col min="9" max="10" width="13" bestFit="1" customWidth="1"/>
    <col min="11" max="11" width="24.6640625" customWidth="1"/>
  </cols>
  <sheetData>
    <row r="3" spans="7:11" x14ac:dyDescent="0.2">
      <c r="H3" s="13" t="s">
        <v>4</v>
      </c>
      <c r="I3" s="13" t="s">
        <v>5</v>
      </c>
      <c r="J3" s="13" t="s">
        <v>6</v>
      </c>
    </row>
    <row r="4" spans="7:11" x14ac:dyDescent="0.2">
      <c r="G4" t="s">
        <v>22</v>
      </c>
      <c r="H4" s="6">
        <v>32234</v>
      </c>
      <c r="I4" s="7">
        <v>32478</v>
      </c>
    </row>
    <row r="5" spans="7:11" x14ac:dyDescent="0.2">
      <c r="G5" t="s">
        <v>0</v>
      </c>
      <c r="H5" s="3">
        <v>1000000</v>
      </c>
      <c r="I5" s="3">
        <v>2000000</v>
      </c>
      <c r="J5" s="11">
        <f>I5+H5</f>
        <v>3000000</v>
      </c>
    </row>
    <row r="6" spans="7:11" x14ac:dyDescent="0.2">
      <c r="G6" t="s">
        <v>1</v>
      </c>
      <c r="H6" s="9">
        <v>358</v>
      </c>
      <c r="I6" s="9">
        <v>360</v>
      </c>
      <c r="J6">
        <f>(H6*H$5+I6*I$5)/J$5</f>
        <v>359.33333333333331</v>
      </c>
    </row>
    <row r="7" spans="7:11" x14ac:dyDescent="0.2">
      <c r="G7" t="s">
        <v>13</v>
      </c>
      <c r="H7" s="4">
        <v>9.5000000000000001E-2</v>
      </c>
      <c r="I7" s="4">
        <v>9.5000000000000001E-2</v>
      </c>
      <c r="J7">
        <f>(H7*H$5+I7*I$5)/J$5</f>
        <v>9.5000000000000001E-2</v>
      </c>
    </row>
    <row r="8" spans="7:11" x14ac:dyDescent="0.2">
      <c r="G8" t="s">
        <v>14</v>
      </c>
      <c r="H8" s="4">
        <v>0.09</v>
      </c>
      <c r="I8" s="4">
        <v>0.09</v>
      </c>
      <c r="J8">
        <f>(H8*H$5+I8*I$5)/J$5</f>
        <v>0.09</v>
      </c>
    </row>
    <row r="9" spans="7:11" x14ac:dyDescent="0.2">
      <c r="G9" t="s">
        <v>21</v>
      </c>
      <c r="H9" s="5">
        <f>H7-H8</f>
        <v>5.0000000000000044E-3</v>
      </c>
      <c r="I9" s="5">
        <f>I7-I8</f>
        <v>5.0000000000000044E-3</v>
      </c>
      <c r="J9">
        <f>J7-J8</f>
        <v>5.0000000000000044E-3</v>
      </c>
    </row>
    <row r="11" spans="7:11" x14ac:dyDescent="0.2">
      <c r="G11" t="s">
        <v>23</v>
      </c>
      <c r="H11" s="14">
        <v>32509</v>
      </c>
      <c r="I11" s="14">
        <v>32509</v>
      </c>
      <c r="J11" s="14">
        <v>32509</v>
      </c>
    </row>
    <row r="12" spans="7:11" x14ac:dyDescent="0.2">
      <c r="G12" t="s">
        <v>9</v>
      </c>
      <c r="H12" s="8">
        <f>DAYS360(H$4,H11)/30</f>
        <v>9</v>
      </c>
      <c r="I12" s="8">
        <f>DAYS360(I$4,I11)/30</f>
        <v>1</v>
      </c>
      <c r="J12" s="16">
        <f>(H12*H16+I12*I16)/(H16+I16)</f>
        <v>3.424465364367816</v>
      </c>
    </row>
    <row r="13" spans="7:11" x14ac:dyDescent="0.2">
      <c r="G13" t="s">
        <v>2</v>
      </c>
      <c r="H13" s="8">
        <f>H6-H12</f>
        <v>349</v>
      </c>
      <c r="I13" s="8">
        <f>I6-I12</f>
        <v>359</v>
      </c>
      <c r="J13" s="11">
        <f>J$6-J12</f>
        <v>355.90886796896552</v>
      </c>
      <c r="K13" s="11"/>
    </row>
    <row r="14" spans="7:11" x14ac:dyDescent="0.2">
      <c r="G14" t="s">
        <v>7</v>
      </c>
      <c r="H14" s="1">
        <v>0.86925218000000004</v>
      </c>
      <c r="I14" s="1">
        <v>0.99950812</v>
      </c>
      <c r="J14" s="10">
        <f>J16/J5</f>
        <v>0.95608947333333327</v>
      </c>
    </row>
    <row r="15" spans="7:11" x14ac:dyDescent="0.2">
      <c r="G15" t="s">
        <v>8</v>
      </c>
      <c r="H15" s="10">
        <f>(1-(1+H7/12)^-H13)/(1-(1+H7/12)^-H6)</f>
        <v>0.99535308712662884</v>
      </c>
      <c r="I15" s="10">
        <f>(1-(1+I7/12)^-I13)/(1-(1+I7/12)^-I6)</f>
        <v>0.99950812459487914</v>
      </c>
      <c r="J15" s="10">
        <f>J17/J5</f>
        <v>0.99812311210546234</v>
      </c>
    </row>
    <row r="16" spans="7:11" x14ac:dyDescent="0.2">
      <c r="G16" t="s">
        <v>25</v>
      </c>
      <c r="H16" s="3">
        <f>H14*H$5</f>
        <v>869252.18</v>
      </c>
      <c r="I16" s="3">
        <f>I14*I$5</f>
        <v>1999016.24</v>
      </c>
      <c r="J16" s="11">
        <f>H16+I16</f>
        <v>2868268.42</v>
      </c>
    </row>
    <row r="17" spans="7:11" x14ac:dyDescent="0.2">
      <c r="G17" t="s">
        <v>26</v>
      </c>
      <c r="H17" s="11">
        <f>H15*H$5</f>
        <v>995353.08712662884</v>
      </c>
      <c r="I17" s="11">
        <f>I15*I$5</f>
        <v>1999016.2491897582</v>
      </c>
      <c r="J17" s="11">
        <f>H17+I17</f>
        <v>2994369.3363163872</v>
      </c>
    </row>
    <row r="19" spans="7:11" x14ac:dyDescent="0.2">
      <c r="G19" t="s">
        <v>24</v>
      </c>
      <c r="H19" s="14">
        <v>32690</v>
      </c>
      <c r="I19" s="14">
        <v>32690</v>
      </c>
      <c r="J19" s="14">
        <v>32690</v>
      </c>
    </row>
    <row r="20" spans="7:11" x14ac:dyDescent="0.2">
      <c r="G20" t="s">
        <v>10</v>
      </c>
      <c r="H20" s="8">
        <f>DAYS360(H$4,H19)/30</f>
        <v>15</v>
      </c>
      <c r="I20" s="8">
        <f>DAYS360(I$4,I19)/30</f>
        <v>7</v>
      </c>
      <c r="J20" s="16">
        <f>J12+DAYS360(J11,J19)/30</f>
        <v>9.4244653643678156</v>
      </c>
      <c r="K20" s="17"/>
    </row>
    <row r="21" spans="7:11" x14ac:dyDescent="0.2">
      <c r="G21" t="s">
        <v>3</v>
      </c>
      <c r="H21" s="8">
        <f>H6-H20</f>
        <v>343</v>
      </c>
      <c r="I21" s="8">
        <f>I6-I20</f>
        <v>353</v>
      </c>
      <c r="J21" s="11">
        <f>J$6-J20</f>
        <v>349.90886796896552</v>
      </c>
    </row>
    <row r="22" spans="7:11" x14ac:dyDescent="0.2">
      <c r="G22" t="s">
        <v>12</v>
      </c>
      <c r="H22" s="1">
        <v>0.84732282000000003</v>
      </c>
      <c r="I22" s="12">
        <v>0.98290230000000001</v>
      </c>
      <c r="J22" s="10">
        <f>J24/J5</f>
        <v>0.93770913999999994</v>
      </c>
    </row>
    <row r="23" spans="7:11" x14ac:dyDescent="0.2">
      <c r="G23" t="s">
        <v>11</v>
      </c>
      <c r="H23" s="10">
        <f>((1-(1+H7/12)^-H21)/(1-(1+H7/12)^-H13))*H14</f>
        <v>0.86638221923004288</v>
      </c>
      <c r="I23" s="10">
        <f>((1-(1+I7/12)^-I21)/(1-(1+I7/12)^-I13))*I14</f>
        <v>0.99647400574834977</v>
      </c>
      <c r="J23" s="10">
        <f>J25/J5</f>
        <v>0.95311007690891425</v>
      </c>
    </row>
    <row r="24" spans="7:11" x14ac:dyDescent="0.2">
      <c r="G24" t="s">
        <v>25</v>
      </c>
      <c r="H24" s="3">
        <f>H22*H5</f>
        <v>847322.82000000007</v>
      </c>
      <c r="I24" s="3">
        <f>I22*I5</f>
        <v>1965804.6</v>
      </c>
      <c r="J24" s="11">
        <f>H24+I24</f>
        <v>2813127.42</v>
      </c>
    </row>
    <row r="25" spans="7:11" x14ac:dyDescent="0.2">
      <c r="G25" t="s">
        <v>27</v>
      </c>
      <c r="H25" s="11">
        <f>H23*H$5</f>
        <v>866382.21923004289</v>
      </c>
      <c r="I25" s="11">
        <f>I23*I$5</f>
        <v>1992948.0114966996</v>
      </c>
      <c r="J25" s="11">
        <f>H25+I25</f>
        <v>2859330.2307267427</v>
      </c>
    </row>
    <row r="28" spans="7:11" x14ac:dyDescent="0.2">
      <c r="G28" t="s">
        <v>15</v>
      </c>
      <c r="H28" s="3">
        <f>ROUND((H15*H5)-(H14*H5),2)</f>
        <v>126100.91</v>
      </c>
      <c r="I28" s="3">
        <f>ROUND((I15*I5)-(I14*I5),2)</f>
        <v>0.01</v>
      </c>
      <c r="J28" s="3">
        <f>ROUND((J15*J5)-(J14*J5),2)</f>
        <v>126100.92</v>
      </c>
    </row>
    <row r="29" spans="7:11" x14ac:dyDescent="0.2">
      <c r="G29" t="s">
        <v>16</v>
      </c>
      <c r="H29" s="8">
        <f>H12</f>
        <v>9</v>
      </c>
      <c r="I29" s="8">
        <f>I12</f>
        <v>1</v>
      </c>
      <c r="J29" s="16">
        <f>J12</f>
        <v>3.424465364367816</v>
      </c>
    </row>
    <row r="30" spans="7:11" x14ac:dyDescent="0.2">
      <c r="G30" t="s">
        <v>17</v>
      </c>
      <c r="H30" s="10">
        <f>ROUND((1-((H14*H5)/(H15*H5))^(1/H29)),8)</f>
        <v>1.493888E-2</v>
      </c>
      <c r="I30" s="10">
        <f>ROUND((1-((I14*I5)/(I15*I5))^(1/I29)),8)</f>
        <v>0</v>
      </c>
      <c r="J30" s="10">
        <f>ROUND((1-((J14*J5)/(J15*J5))^(1/J29)),8)</f>
        <v>1.248544E-2</v>
      </c>
    </row>
    <row r="31" spans="7:11" x14ac:dyDescent="0.2">
      <c r="G31" t="s">
        <v>28</v>
      </c>
      <c r="H31" s="2">
        <f>ROUND(1-(1-H30)^12,8)*100</f>
        <v>16.524672000000002</v>
      </c>
      <c r="I31" s="2">
        <f>ROUND(1-(1-I30)^12,8)*100</f>
        <v>0</v>
      </c>
      <c r="J31" s="2">
        <f>ROUND(1-(1-J30)^12,8)*100</f>
        <v>13.995319</v>
      </c>
    </row>
    <row r="33" spans="7:11" x14ac:dyDescent="0.2">
      <c r="G33" t="s">
        <v>18</v>
      </c>
      <c r="H33" s="3">
        <f>ROUND((H23*H5)-(H22*H5),2)</f>
        <v>19059.400000000001</v>
      </c>
      <c r="I33" s="3">
        <f>ROUND((I23*I5)-(I22*I5),2)</f>
        <v>27143.41</v>
      </c>
      <c r="J33" s="3">
        <f>ROUND((J23*J5)-(J22*J5),2)</f>
        <v>46202.81</v>
      </c>
    </row>
    <row r="34" spans="7:11" x14ac:dyDescent="0.2">
      <c r="G34" t="s">
        <v>19</v>
      </c>
      <c r="H34" s="8">
        <f>H20-H12</f>
        <v>6</v>
      </c>
      <c r="I34" s="8">
        <f>I20-I12</f>
        <v>6</v>
      </c>
      <c r="J34" s="15">
        <f>J20-J12</f>
        <v>6</v>
      </c>
    </row>
    <row r="35" spans="7:11" x14ac:dyDescent="0.2">
      <c r="G35" t="s">
        <v>20</v>
      </c>
      <c r="H35" s="10">
        <f>ROUND((1-((H22*H5)/(H23*H5))^(1/H34)),8)</f>
        <v>3.70054E-3</v>
      </c>
      <c r="I35" s="10">
        <f>ROUND((1-((I22*I5)/(I23*I5))^(1/I34)),8)</f>
        <v>2.2829399999999998E-3</v>
      </c>
      <c r="J35" s="10">
        <f>ROUND((1-((J22*J5)/(J23*J5))^(1/J34)),8)</f>
        <v>2.71142E-3</v>
      </c>
      <c r="K35" s="18"/>
    </row>
    <row r="36" spans="7:11" x14ac:dyDescent="0.2">
      <c r="G36" t="s">
        <v>29</v>
      </c>
      <c r="H36" s="2">
        <f>ROUND(1-(1-H35)^12,8)*100</f>
        <v>4.3513729999999997</v>
      </c>
      <c r="I36" s="2">
        <f>ROUND(1-(1-I35)^12,8)*100</f>
        <v>2.70539</v>
      </c>
      <c r="J36" s="2">
        <f>ROUND(1-(1-J35)^12,8)*100</f>
        <v>3.2056179999999999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Merrill</dc:creator>
  <cp:lastModifiedBy>Charles Merrill</cp:lastModifiedBy>
  <dcterms:created xsi:type="dcterms:W3CDTF">2026-01-10T06:50:58Z</dcterms:created>
  <dcterms:modified xsi:type="dcterms:W3CDTF">2026-02-06T06:33:28Z</dcterms:modified>
</cp:coreProperties>
</file>